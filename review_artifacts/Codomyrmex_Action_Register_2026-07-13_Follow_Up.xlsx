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Action Register" sheetId="2" state="visible" r:id="rId2"/>
    <sheet xmlns:r="http://schemas.openxmlformats.org/officeDocument/2006/relationships" name="Evidence Index" sheetId="3" state="visible" r:id="rId3"/>
    <sheet xmlns:r="http://schemas.openxmlformats.org/officeDocument/2006/relationships" name="Release Checklist" sheetId="4" state="visible" r:id="rId4"/>
    <sheet xmlns:r="http://schemas.openxmlformats.org/officeDocument/2006/relationships" name="Current Revision" sheetId="5" state="visible" r:id="rId5"/>
  </sheets>
  <definedNames/>
  <calcPr calcId="124519" fullCalcOnLoad="1" refMode="A1" iterate="0" iterateCount="100" iterateDelta="0.001" forceFullCalc="1"/>
</workbook>
</file>

<file path=xl/styles.xml><?xml version="1.0" encoding="utf-8"?>
<styleSheet xmlns="http://schemas.openxmlformats.org/spreadsheetml/2006/main">
  <numFmts count="0"/>
  <fonts count="26">
    <font>
      <name val="Arial"/>
      <charset val="1"/>
      <family val="2"/>
      <sz val="10"/>
    </font>
    <font>
      <name val="Arial"/>
      <family val="0"/>
      <sz val="10"/>
    </font>
    <font>
      <name val="Arial"/>
      <family val="0"/>
      <sz val="10"/>
    </font>
    <font>
      <name val="Arial"/>
      <family val="0"/>
      <sz val="10"/>
    </font>
    <font>
      <name val="Arial"/>
      <charset val="1"/>
      <family val="0"/>
      <b val="1"/>
      <color rgb="FFFFFFFF"/>
      <sz val="18"/>
    </font>
    <font>
      <name val="Arial"/>
      <charset val="1"/>
      <family val="0"/>
      <color rgb="FF1F4D78"/>
      <sz val="10"/>
    </font>
    <font>
      <name val="Arial"/>
      <charset val="1"/>
      <family val="0"/>
      <b val="1"/>
      <color rgb="FF842029"/>
      <sz val="9"/>
    </font>
    <font>
      <name val="Arial"/>
      <charset val="1"/>
      <family val="0"/>
      <b val="1"/>
      <color rgb="FF9B1C1C"/>
      <sz val="9"/>
    </font>
    <font>
      <name val="Arial"/>
      <charset val="1"/>
      <family val="0"/>
      <b val="1"/>
      <color rgb="FF7A4E00"/>
      <sz val="9"/>
    </font>
    <font>
      <name val="Arial"/>
      <charset val="1"/>
      <family val="0"/>
      <b val="1"/>
      <color rgb="FF1F4D78"/>
      <sz val="9"/>
    </font>
    <font>
      <name val="Arial"/>
      <charset val="1"/>
      <family val="0"/>
      <b val="1"/>
      <color rgb="FF842029"/>
      <sz val="22"/>
    </font>
    <font>
      <name val="Arial"/>
      <charset val="1"/>
      <family val="0"/>
      <b val="1"/>
      <color rgb="FF9B1C1C"/>
      <sz val="22"/>
    </font>
    <font>
      <name val="Arial"/>
      <charset val="1"/>
      <family val="0"/>
      <b val="1"/>
      <color rgb="FF7A4E00"/>
      <sz val="22"/>
    </font>
    <font>
      <name val="Arial"/>
      <charset val="1"/>
      <family val="0"/>
      <b val="1"/>
      <color rgb="FF1F4D78"/>
      <sz val="22"/>
    </font>
    <font>
      <name val="Arial"/>
      <charset val="1"/>
      <family val="0"/>
      <b val="1"/>
      <color rgb="FFFFFFFF"/>
      <sz val="11"/>
    </font>
    <font>
      <name val="Arial"/>
      <charset val="1"/>
      <family val="0"/>
      <b val="1"/>
      <color rgb="FFFFFFFF"/>
      <sz val="10"/>
    </font>
    <font>
      <name val="Arial"/>
      <charset val="1"/>
      <family val="0"/>
      <color rgb="FF111827"/>
      <sz val="10"/>
    </font>
    <font>
      <name val="Arial"/>
      <charset val="1"/>
      <family val="0"/>
      <color rgb="FF111827"/>
      <sz val="9"/>
    </font>
    <font>
      <name val="Arial"/>
      <charset val="1"/>
      <family val="0"/>
      <b val="1"/>
      <color rgb="FF842029"/>
      <sz val="11"/>
    </font>
    <font>
      <name val="Arial"/>
      <charset val="1"/>
      <family val="0"/>
      <color rgb="FF5F6B76"/>
      <sz val="9"/>
    </font>
    <font>
      <name val="Calibri"/>
      <family val="2"/>
      <b val="1"/>
      <color rgb="FF000000"/>
      <sz val="18"/>
    </font>
    <font>
      <name val="Calibri"/>
      <family val="2"/>
      <color rgb="FF000000"/>
      <sz val="6.75"/>
    </font>
    <font>
      <name val="Cambria"/>
      <charset val="1"/>
      <family val="0"/>
      <b val="1"/>
      <color rgb="FFFFFFFF"/>
      <sz val="16"/>
    </font>
    <font>
      <name val="Cambria"/>
      <charset val="1"/>
      <family val="0"/>
      <b val="1"/>
      <sz val="11"/>
    </font>
    <font>
      <name val="Calibri"/>
      <charset val="1"/>
      <family val="0"/>
      <sz val="11"/>
    </font>
    <font>
      <name val="Cambria"/>
      <charset val="1"/>
      <family val="0"/>
      <b val="1"/>
      <color rgb="FFFFFFFF"/>
      <sz val="11"/>
    </font>
  </fonts>
  <fills count="12">
    <fill>
      <patternFill/>
    </fill>
    <fill>
      <patternFill patternType="gray125"/>
    </fill>
    <fill>
      <patternFill patternType="solid">
        <fgColor rgb="FF0B2545"/>
        <bgColor rgb="FF111827"/>
      </patternFill>
    </fill>
    <fill>
      <patternFill patternType="solid">
        <fgColor rgb="FFEAF2F8"/>
        <bgColor rgb="FFF2F4F7"/>
      </patternFill>
    </fill>
    <fill>
      <patternFill patternType="solid">
        <fgColor rgb="FFF8D7DA"/>
        <bgColor rgb="FFFCE8E6"/>
      </patternFill>
    </fill>
    <fill>
      <patternFill patternType="solid">
        <fgColor rgb="FFFCE8E6"/>
        <bgColor rgb="FFF2F4F7"/>
      </patternFill>
    </fill>
    <fill>
      <patternFill patternType="solid">
        <fgColor rgb="FFFFF4CE"/>
        <bgColor rgb="FFFCE8E6"/>
      </patternFill>
    </fill>
    <fill>
      <patternFill patternType="solid">
        <fgColor rgb="FF2E74B5"/>
        <bgColor rgb="FF156082"/>
      </patternFill>
    </fill>
    <fill>
      <patternFill patternType="solid">
        <fgColor rgb="FF842029"/>
        <bgColor rgb="FF9B1C1C"/>
      </patternFill>
    </fill>
    <fill>
      <patternFill patternType="solid">
        <fgColor rgb="FFF2F4F7"/>
        <bgColor rgb="FFEAF2F8"/>
      </patternFill>
    </fill>
    <fill>
      <patternFill patternType="solid">
        <fgColor rgb="FF1F4E78"/>
        <bgColor rgb="FF1F4D78"/>
      </patternFill>
    </fill>
    <fill>
      <patternFill patternType="solid">
        <fgColor rgb="FF5B9BD5"/>
        <bgColor rgb="FF46B1E1"/>
      </patternFill>
    </fill>
  </fills>
  <borders count="53">
    <border>
      <left/>
      <right/>
      <top/>
      <bottom/>
      <diagonal/>
    </border>
    <border>
      <left style="thin">
        <color rgb="FF842029"/>
      </left>
      <right style="thin">
        <color rgb="FF842029"/>
      </right>
      <top style="thin">
        <color rgb="FF842029"/>
      </top>
      <bottom style="thin">
        <color rgb="FF842029"/>
      </bottom>
      <diagonal/>
    </border>
    <border>
      <left style="thin">
        <color rgb="FF9B1C1C"/>
      </left>
      <right style="thin">
        <color rgb="FF9B1C1C"/>
      </right>
      <top style="thin">
        <color rgb="FF9B1C1C"/>
      </top>
      <bottom style="thin">
        <color rgb="FF9B1C1C"/>
      </bottom>
      <diagonal/>
    </border>
    <border>
      <left style="thin">
        <color rgb="FF7A4E00"/>
      </left>
      <right style="thin">
        <color rgb="FF7A4E00"/>
      </right>
      <top style="thin">
        <color rgb="FF7A4E00"/>
      </top>
      <bottom style="thin">
        <color rgb="FF7A4E00"/>
      </bottom>
      <diagonal/>
    </border>
    <border>
      <left style="thin">
        <color rgb="FF1F4D78"/>
      </left>
      <right style="thin">
        <color rgb="FF1F4D78"/>
      </right>
      <top style="thin">
        <color rgb="FF1F4D78"/>
      </top>
      <bottom style="thin">
        <color rgb="FF1F4D78"/>
      </bottom>
      <diagonal/>
    </border>
    <border>
      <left style="thin">
        <color rgb="FF1F4D78"/>
      </left>
      <right/>
      <top style="thin">
        <color rgb="FF1F4D78"/>
      </top>
      <bottom style="thin">
        <color rgb="FF1F4D78"/>
      </bottom>
      <diagonal/>
    </border>
    <border>
      <left/>
      <right/>
      <top style="thin">
        <color rgb="FF1F4D78"/>
      </top>
      <bottom style="thin">
        <color rgb="FF1F4D78"/>
      </bottom>
      <diagonal/>
    </border>
    <border>
      <left/>
      <right style="thin">
        <color rgb="FF1F4D78"/>
      </right>
      <top style="thin">
        <color rgb="FF1F4D78"/>
      </top>
      <bottom style="thin">
        <color rgb="FF1F4D78"/>
      </bottom>
      <diagonal/>
    </border>
    <border>
      <left/>
      <right style="thin">
        <color rgb="FFD5DCE3"/>
      </right>
      <top/>
      <bottom style="thin">
        <color rgb="FFD5DCE3"/>
      </bottom>
      <diagonal/>
    </border>
    <border>
      <left style="thin">
        <color rgb="FFD5DCE3"/>
      </left>
      <right style="thin">
        <color rgb="FFD5DCE3"/>
      </right>
      <top/>
      <bottom style="thin">
        <color rgb="FFD5DCE3"/>
      </bottom>
      <diagonal/>
    </border>
    <border>
      <left style="thin">
        <color rgb="FFD5DCE3"/>
      </left>
      <right/>
      <top/>
      <bottom style="thin">
        <color rgb="FFD5DCE3"/>
      </bottom>
      <diagonal/>
    </border>
    <border>
      <left/>
      <right style="thin">
        <color rgb="FFD5DCE3"/>
      </right>
      <top style="thin">
        <color rgb="FFD5DCE3"/>
      </top>
      <bottom style="thin">
        <color rgb="FFD5DCE3"/>
      </bottom>
      <diagonal/>
    </border>
    <border>
      <left style="thin">
        <color rgb="FFD5DCE3"/>
      </left>
      <right style="thin">
        <color rgb="FFD5DCE3"/>
      </right>
      <top style="thin">
        <color rgb="FFD5DCE3"/>
      </top>
      <bottom style="thin">
        <color rgb="FFD5DCE3"/>
      </bottom>
      <diagonal/>
    </border>
    <border>
      <left style="thin">
        <color rgb="FFD5DCE3"/>
      </left>
      <right/>
      <top style="thin">
        <color rgb="FFD5DCE3"/>
      </top>
      <bottom style="thin">
        <color rgb="FFD5DCE3"/>
      </bottom>
      <diagonal/>
    </border>
    <border>
      <left/>
      <right style="thin">
        <color rgb="FFD5DCE3"/>
      </right>
      <top style="thin">
        <color rgb="FFD5DCE3"/>
      </top>
      <bottom/>
      <diagonal/>
    </border>
    <border>
      <left style="thin">
        <color rgb="FFD5DCE3"/>
      </left>
      <right style="thin">
        <color rgb="FFD5DCE3"/>
      </right>
      <top style="thin">
        <color rgb="FFD5DCE3"/>
      </top>
      <bottom/>
      <diagonal/>
    </border>
    <border>
      <left style="thin">
        <color rgb="FFD5DCE3"/>
      </left>
      <right/>
      <top style="thin">
        <color rgb="FFD5DCE3"/>
      </top>
      <bottom/>
      <diagonal/>
    </border>
    <border>
      <left style="medium">
        <color rgb="FF842029"/>
      </left>
      <right style="medium">
        <color rgb="FF842029"/>
      </right>
      <top style="medium">
        <color rgb="FF842029"/>
      </top>
      <bottom style="medium">
        <color rgb="FF842029"/>
      </bottom>
      <diagonal/>
    </border>
    <border>
      <left/>
      <right/>
      <top style="thin">
        <color rgb="FF842029"/>
      </top>
      <bottom/>
      <diagonal/>
    </border>
    <border>
      <left/>
      <right style="thin">
        <color rgb="FF842029"/>
      </right>
      <top style="thin">
        <color rgb="FF842029"/>
      </top>
      <bottom/>
      <diagonal/>
    </border>
    <border>
      <left/>
      <right style="thin">
        <color rgb="FF842029"/>
      </right>
      <top style="thin">
        <color rgb="FF842029"/>
      </top>
      <bottom style="thin">
        <color rgb="FF842029"/>
      </bottom>
      <diagonal/>
    </border>
    <border>
      <left/>
      <right/>
      <top style="thin">
        <color rgb="FF9B1C1C"/>
      </top>
      <bottom/>
      <diagonal/>
    </border>
    <border>
      <left/>
      <right style="thin">
        <color rgb="FF9B1C1C"/>
      </right>
      <top style="thin">
        <color rgb="FF9B1C1C"/>
      </top>
      <bottom/>
      <diagonal/>
    </border>
    <border>
      <left/>
      <right style="thin">
        <color rgb="FF9B1C1C"/>
      </right>
      <top style="thin">
        <color rgb="FF9B1C1C"/>
      </top>
      <bottom style="thin">
        <color rgb="FF9B1C1C"/>
      </bottom>
      <diagonal/>
    </border>
    <border>
      <left/>
      <right/>
      <top style="thin">
        <color rgb="FF7A4E00"/>
      </top>
      <bottom/>
      <diagonal/>
    </border>
    <border>
      <left/>
      <right style="thin">
        <color rgb="FF7A4E00"/>
      </right>
      <top style="thin">
        <color rgb="FF7A4E00"/>
      </top>
      <bottom/>
      <diagonal/>
    </border>
    <border>
      <left/>
      <right style="thin">
        <color rgb="FF7A4E00"/>
      </right>
      <top style="thin">
        <color rgb="FF7A4E00"/>
      </top>
      <bottom style="thin">
        <color rgb="FF7A4E00"/>
      </bottom>
      <diagonal/>
    </border>
    <border>
      <left/>
      <right/>
      <top style="thin">
        <color rgb="FF1F4D78"/>
      </top>
      <bottom/>
      <diagonal/>
    </border>
    <border>
      <left/>
      <right style="thin">
        <color rgb="FF1F4D78"/>
      </right>
      <top style="thin">
        <color rgb="FF1F4D78"/>
      </top>
      <bottom/>
      <diagonal/>
    </border>
    <border>
      <left style="thin">
        <color rgb="FF842029"/>
      </left>
      <right/>
      <top/>
      <bottom/>
      <diagonal/>
    </border>
    <border>
      <left/>
      <right style="thin">
        <color rgb="FF842029"/>
      </right>
      <top/>
      <bottom/>
      <diagonal/>
    </border>
    <border>
      <left style="thin">
        <color rgb="FF842029"/>
      </left>
      <right/>
      <top/>
      <bottom style="thin">
        <color rgb="FF842029"/>
      </bottom>
      <diagonal/>
    </border>
    <border>
      <left/>
      <right style="thin">
        <color rgb="FF842029"/>
      </right>
      <top/>
      <bottom style="thin">
        <color rgb="FF842029"/>
      </bottom>
      <diagonal/>
    </border>
    <border>
      <left style="thin">
        <color rgb="FF9B1C1C"/>
      </left>
      <right/>
      <top/>
      <bottom/>
      <diagonal/>
    </border>
    <border>
      <left/>
      <right style="thin">
        <color rgb="FF9B1C1C"/>
      </right>
      <top/>
      <bottom/>
      <diagonal/>
    </border>
    <border>
      <left style="thin">
        <color rgb="FF9B1C1C"/>
      </left>
      <right/>
      <top/>
      <bottom style="thin">
        <color rgb="FF9B1C1C"/>
      </bottom>
      <diagonal/>
    </border>
    <border>
      <left/>
      <right style="thin">
        <color rgb="FF9B1C1C"/>
      </right>
      <top/>
      <bottom style="thin">
        <color rgb="FF9B1C1C"/>
      </bottom>
      <diagonal/>
    </border>
    <border>
      <left style="thin">
        <color rgb="FF7A4E00"/>
      </left>
      <right/>
      <top/>
      <bottom/>
      <diagonal/>
    </border>
    <border>
      <left/>
      <right style="thin">
        <color rgb="FF7A4E00"/>
      </right>
      <top/>
      <bottom/>
      <diagonal/>
    </border>
    <border>
      <left style="thin">
        <color rgb="FF7A4E00"/>
      </left>
      <right/>
      <top/>
      <bottom style="thin">
        <color rgb="FF7A4E00"/>
      </bottom>
      <diagonal/>
    </border>
    <border>
      <left/>
      <right style="thin">
        <color rgb="FF7A4E00"/>
      </right>
      <top/>
      <bottom style="thin">
        <color rgb="FF7A4E00"/>
      </bottom>
      <diagonal/>
    </border>
    <border>
      <left style="thin">
        <color rgb="FF1F4D78"/>
      </left>
      <right/>
      <top/>
      <bottom/>
      <diagonal/>
    </border>
    <border>
      <left/>
      <right style="thin">
        <color rgb="FF1F4D78"/>
      </right>
      <top/>
      <bottom/>
      <diagonal/>
    </border>
    <border>
      <left style="thin">
        <color rgb="FF1F4D78"/>
      </left>
      <right/>
      <top/>
      <bottom style="thin">
        <color rgb="FF1F4D78"/>
      </bottom>
      <diagonal/>
    </border>
    <border>
      <left/>
      <right/>
      <top/>
      <bottom style="thin">
        <color rgb="FF1F4D78"/>
      </bottom>
      <diagonal/>
    </border>
    <border>
      <left/>
      <right style="thin">
        <color rgb="FF1F4D78"/>
      </right>
      <top/>
      <bottom style="thin">
        <color rgb="FF1F4D78"/>
      </bottom>
      <diagonal/>
    </border>
    <border>
      <left/>
      <right/>
      <top style="medium">
        <color rgb="FF842029"/>
      </top>
      <bottom/>
      <diagonal/>
    </border>
    <border>
      <left style="medium">
        <color rgb="FF842029"/>
      </left>
      <right/>
      <top/>
      <bottom/>
      <diagonal/>
    </border>
    <border>
      <left/>
      <right style="medium">
        <color rgb="FF842029"/>
      </right>
      <top style="medium">
        <color rgb="FF842029"/>
      </top>
      <bottom/>
      <diagonal/>
    </border>
    <border>
      <left/>
      <right style="medium">
        <color rgb="FF842029"/>
      </right>
      <top/>
      <bottom/>
      <diagonal/>
    </border>
    <border>
      <left style="medium">
        <color rgb="FF842029"/>
      </left>
      <right/>
      <top/>
      <bottom style="medium">
        <color rgb="FF842029"/>
      </bottom>
      <diagonal/>
    </border>
    <border>
      <left/>
      <right/>
      <top/>
      <bottom style="medium">
        <color rgb="FF842029"/>
      </bottom>
      <diagonal/>
    </border>
    <border>
      <left/>
      <right style="medium">
        <color rgb="FF842029"/>
      </right>
      <top/>
      <bottom style="medium">
        <color rgb="FF84202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1" applyAlignment="1" pivotButton="0" quotePrefix="0" xfId="0">
      <alignment horizontal="center" vertical="center"/>
    </xf>
    <xf numFmtId="0" fontId="7" fillId="5" borderId="2" applyAlignment="1" pivotButton="0" quotePrefix="0" xfId="0">
      <alignment horizontal="center" vertical="center"/>
    </xf>
    <xf numFmtId="0" fontId="8" fillId="6" borderId="3" applyAlignment="1" pivotButton="0" quotePrefix="0" xfId="0">
      <alignment horizontal="center" vertical="center"/>
    </xf>
    <xf numFmtId="0" fontId="9" fillId="3" borderId="4" applyAlignment="1" pivotButton="0" quotePrefix="0" xfId="0">
      <alignment horizontal="center" vertical="center"/>
    </xf>
    <xf numFmtId="0" fontId="10" fillId="4" borderId="1" applyAlignment="1" pivotButton="0" quotePrefix="0" xfId="0">
      <alignment horizontal="center" vertical="center"/>
    </xf>
    <xf numFmtId="0" fontId="11" fillId="5" borderId="2" applyAlignment="1" pivotButton="0" quotePrefix="0" xfId="0">
      <alignment horizontal="center" vertical="center"/>
    </xf>
    <xf numFmtId="0" fontId="12" fillId="6" borderId="3" applyAlignment="1" pivotButton="0" quotePrefix="0" xfId="0">
      <alignment horizontal="center" vertical="center"/>
    </xf>
    <xf numFmtId="0" fontId="13" fillId="3" borderId="4" applyAlignment="1" pivotButton="0" quotePrefix="0" xfId="0">
      <alignment horizontal="center" vertical="center"/>
    </xf>
    <xf numFmtId="0" fontId="14" fillId="2" borderId="0" applyAlignment="1" pivotButton="0" quotePrefix="0" xfId="0">
      <alignment horizontal="general" vertical="center"/>
    </xf>
    <xf numFmtId="0" fontId="15" fillId="7" borderId="5" applyAlignment="1" pivotButton="0" quotePrefix="0" xfId="0">
      <alignment horizontal="center" vertical="center" wrapText="1"/>
    </xf>
    <xf numFmtId="0" fontId="15" fillId="7" borderId="6" applyAlignment="1" pivotButton="0" quotePrefix="0" xfId="0">
      <alignment horizontal="center" vertical="center" wrapText="1"/>
    </xf>
    <xf numFmtId="0" fontId="15" fillId="7" borderId="7" applyAlignment="1" pivotButton="0" quotePrefix="0" xfId="0">
      <alignment horizontal="center" vertical="center" wrapText="1"/>
    </xf>
    <xf numFmtId="0" fontId="16" fillId="0" borderId="8" applyAlignment="1" pivotButton="0" quotePrefix="0" xfId="0">
      <alignment horizontal="general" vertical="center"/>
    </xf>
    <xf numFmtId="0" fontId="16" fillId="0" borderId="9" applyAlignment="1" pivotButton="0" quotePrefix="0" xfId="0">
      <alignment horizontal="general" vertical="center"/>
    </xf>
    <xf numFmtId="0" fontId="16" fillId="0" borderId="10" applyAlignment="1" pivotButton="0" quotePrefix="0" xfId="0">
      <alignment horizontal="general" vertical="center"/>
    </xf>
    <xf numFmtId="0" fontId="16" fillId="0" borderId="11" applyAlignment="1" pivotButton="0" quotePrefix="0" xfId="0">
      <alignment horizontal="general" vertical="center"/>
    </xf>
    <xf numFmtId="0" fontId="16" fillId="0" borderId="12" applyAlignment="1" pivotButton="0" quotePrefix="0" xfId="0">
      <alignment horizontal="general" vertical="center"/>
    </xf>
    <xf numFmtId="0" fontId="16" fillId="0" borderId="13" applyAlignment="1" pivotButton="0" quotePrefix="0" xfId="0">
      <alignment horizontal="general" vertical="center"/>
    </xf>
    <xf numFmtId="0" fontId="16" fillId="0" borderId="14" applyAlignment="1" pivotButton="0" quotePrefix="0" xfId="0">
      <alignment horizontal="general" vertical="center"/>
    </xf>
    <xf numFmtId="0" fontId="16" fillId="0" borderId="15" applyAlignment="1" pivotButton="0" quotePrefix="0" xfId="0">
      <alignment horizontal="general" vertical="center"/>
    </xf>
    <xf numFmtId="0" fontId="16" fillId="0" borderId="16" applyAlignment="1" pivotButton="0" quotePrefix="0" xfId="0">
      <alignment horizontal="general" vertical="center"/>
    </xf>
    <xf numFmtId="0" fontId="17" fillId="0" borderId="8" applyAlignment="1" pivotButton="0" quotePrefix="0" xfId="0">
      <alignment horizontal="general" vertical="center" wrapText="1"/>
    </xf>
    <xf numFmtId="0" fontId="17" fillId="0" borderId="9" applyAlignment="1" pivotButton="0" quotePrefix="0" xfId="0">
      <alignment horizontal="general" vertical="center" wrapText="1"/>
    </xf>
    <xf numFmtId="0" fontId="17" fillId="0" borderId="10" applyAlignment="1" pivotButton="0" quotePrefix="0" xfId="0">
      <alignment horizontal="general" vertical="center" wrapText="1"/>
    </xf>
    <xf numFmtId="0" fontId="17" fillId="0" borderId="11" applyAlignment="1" pivotButton="0" quotePrefix="0" xfId="0">
      <alignment horizontal="general" vertical="center" wrapText="1"/>
    </xf>
    <xf numFmtId="0" fontId="17" fillId="0" borderId="12" applyAlignment="1" pivotButton="0" quotePrefix="0" xfId="0">
      <alignment horizontal="general" vertical="center" wrapText="1"/>
    </xf>
    <xf numFmtId="0" fontId="17" fillId="0" borderId="13" applyAlignment="1" pivotButton="0" quotePrefix="0" xfId="0">
      <alignment horizontal="general" vertical="center" wrapText="1"/>
    </xf>
    <xf numFmtId="0" fontId="17" fillId="0" borderId="14" applyAlignment="1" pivotButton="0" quotePrefix="0" xfId="0">
      <alignment horizontal="general" vertical="center" wrapText="1"/>
    </xf>
    <xf numFmtId="0" fontId="17" fillId="0" borderId="15" applyAlignment="1" pivotButton="0" quotePrefix="0" xfId="0">
      <alignment horizontal="general" vertical="center" wrapText="1"/>
    </xf>
    <xf numFmtId="0" fontId="17" fillId="0" borderId="16" applyAlignment="1" pivotButton="0" quotePrefix="0" xfId="0">
      <alignment horizontal="general" vertical="center" wrapText="1"/>
    </xf>
    <xf numFmtId="0" fontId="14" fillId="8" borderId="0" applyAlignment="1" pivotButton="0" quotePrefix="0" xfId="0">
      <alignment horizontal="general" vertical="center"/>
    </xf>
    <xf numFmtId="0" fontId="18" fillId="4" borderId="17" applyAlignment="1" pivotButton="0" quotePrefix="0" xfId="0">
      <alignment horizontal="left" vertical="center" wrapText="1"/>
    </xf>
    <xf numFmtId="0" fontId="19" fillId="9" borderId="0" applyAlignment="1" pivotButton="0" quotePrefix="0" xfId="0">
      <alignment horizontal="general" vertical="center" wrapText="1"/>
    </xf>
    <xf numFmtId="0" fontId="15" fillId="7" borderId="0" applyAlignment="1" pivotButton="0" quotePrefix="0" xfId="0">
      <alignment horizontal="center" vertical="center" wrapText="1"/>
    </xf>
    <xf numFmtId="0" fontId="9"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7" fillId="0" borderId="0" applyAlignment="1" pivotButton="0" quotePrefix="0" xfId="0">
      <alignment horizontal="general" vertical="top" wrapText="1"/>
    </xf>
    <xf numFmtId="0" fontId="22" fillId="10" borderId="0"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top" wrapText="1"/>
    </xf>
    <xf numFmtId="0" fontId="25" fillId="11" borderId="0" applyAlignment="1" pivotButton="0" quotePrefix="0" xfId="0">
      <alignment horizontal="general" vertical="bottom"/>
    </xf>
    <xf numFmtId="0" fontId="24"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1" applyAlignment="1" pivotButton="0" quotePrefix="0" xfId="0">
      <alignment horizontal="center" vertical="center"/>
    </xf>
    <xf numFmtId="0" fontId="0" fillId="0" borderId="20" pivotButton="0" quotePrefix="0" xfId="0"/>
    <xf numFmtId="0" fontId="7" fillId="5" borderId="2" applyAlignment="1" pivotButton="0" quotePrefix="0" xfId="0">
      <alignment horizontal="center" vertical="center"/>
    </xf>
    <xf numFmtId="0" fontId="0" fillId="0" borderId="23" pivotButton="0" quotePrefix="0" xfId="0"/>
    <xf numFmtId="0" fontId="8" fillId="6" borderId="3" applyAlignment="1" pivotButton="0" quotePrefix="0" xfId="0">
      <alignment horizontal="center" vertical="center"/>
    </xf>
    <xf numFmtId="0" fontId="0" fillId="0" borderId="26" pivotButton="0" quotePrefix="0" xfId="0"/>
    <xf numFmtId="0" fontId="9" fillId="3" borderId="4" applyAlignment="1" pivotButton="0" quotePrefix="0" xfId="0">
      <alignment horizontal="center" vertical="center"/>
    </xf>
    <xf numFmtId="0" fontId="0" fillId="0" borderId="6" pivotButton="0" quotePrefix="0" xfId="0"/>
    <xf numFmtId="0" fontId="0" fillId="0" borderId="7" pivotButton="0" quotePrefix="0" xfId="0"/>
    <xf numFmtId="0" fontId="10" fillId="4" borderId="1" applyAlignment="1" pivotButton="0" quotePrefix="0" xfId="0">
      <alignment horizontal="center" vertical="center"/>
    </xf>
    <xf numFmtId="0" fontId="0" fillId="0" borderId="19" pivotButton="0" quotePrefix="0" xfId="0"/>
    <xf numFmtId="0" fontId="11" fillId="5" borderId="2" applyAlignment="1" pivotButton="0" quotePrefix="0" xfId="0">
      <alignment horizontal="center" vertical="center"/>
    </xf>
    <xf numFmtId="0" fontId="0" fillId="0" borderId="22" pivotButton="0" quotePrefix="0" xfId="0"/>
    <xf numFmtId="0" fontId="12" fillId="6" borderId="3" applyAlignment="1" pivotButton="0" quotePrefix="0" xfId="0">
      <alignment horizontal="center" vertical="center"/>
    </xf>
    <xf numFmtId="0" fontId="0" fillId="0" borderId="25" pivotButton="0" quotePrefix="0" xfId="0"/>
    <xf numFmtId="0" fontId="13" fillId="3" borderId="4" applyAlignment="1" pivotButton="0" quotePrefix="0" xfId="0">
      <alignment horizontal="center" vertical="center"/>
    </xf>
    <xf numFmtId="0" fontId="0" fillId="0" borderId="27" pivotButton="0" quotePrefix="0" xfId="0"/>
    <xf numFmtId="0" fontId="0" fillId="0" borderId="28" pivotButton="0" quotePrefix="0" xfId="0"/>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0" borderId="45" pivotButton="0" quotePrefix="0" xfId="0"/>
    <xf numFmtId="0" fontId="14" fillId="2" borderId="0" applyAlignment="1" pivotButton="0" quotePrefix="0" xfId="0">
      <alignment horizontal="general" vertical="center"/>
    </xf>
    <xf numFmtId="0" fontId="15" fillId="7" borderId="5" applyAlignment="1" pivotButton="0" quotePrefix="0" xfId="0">
      <alignment horizontal="center" vertical="center" wrapText="1"/>
    </xf>
    <xf numFmtId="0" fontId="15" fillId="7" borderId="6" applyAlignment="1" pivotButton="0" quotePrefix="0" xfId="0">
      <alignment horizontal="center" vertical="center" wrapText="1"/>
    </xf>
    <xf numFmtId="0" fontId="15" fillId="7" borderId="7" applyAlignment="1" pivotButton="0" quotePrefix="0" xfId="0">
      <alignment horizontal="center" vertical="center" wrapText="1"/>
    </xf>
    <xf numFmtId="0" fontId="16" fillId="0" borderId="8" applyAlignment="1" pivotButton="0" quotePrefix="0" xfId="0">
      <alignment horizontal="general" vertical="center"/>
    </xf>
    <xf numFmtId="0" fontId="16" fillId="0" borderId="9" applyAlignment="1" pivotButton="0" quotePrefix="0" xfId="0">
      <alignment horizontal="general" vertical="center"/>
    </xf>
    <xf numFmtId="0" fontId="16" fillId="0" borderId="10" applyAlignment="1" pivotButton="0" quotePrefix="0" xfId="0">
      <alignment horizontal="general" vertical="center"/>
    </xf>
    <xf numFmtId="0" fontId="16" fillId="0" borderId="11" applyAlignment="1" pivotButton="0" quotePrefix="0" xfId="0">
      <alignment horizontal="general" vertical="center"/>
    </xf>
    <xf numFmtId="0" fontId="16" fillId="0" borderId="12" applyAlignment="1" pivotButton="0" quotePrefix="0" xfId="0">
      <alignment horizontal="general" vertical="center"/>
    </xf>
    <xf numFmtId="0" fontId="16" fillId="0" borderId="13" applyAlignment="1" pivotButton="0" quotePrefix="0" xfId="0">
      <alignment horizontal="general" vertical="center"/>
    </xf>
    <xf numFmtId="0" fontId="16" fillId="0" borderId="14" applyAlignment="1" pivotButton="0" quotePrefix="0" xfId="0">
      <alignment horizontal="general" vertical="center"/>
    </xf>
    <xf numFmtId="0" fontId="16" fillId="0" borderId="15" applyAlignment="1" pivotButton="0" quotePrefix="0" xfId="0">
      <alignment horizontal="general" vertical="center"/>
    </xf>
    <xf numFmtId="0" fontId="16" fillId="0" borderId="16" applyAlignment="1" pivotButton="0" quotePrefix="0" xfId="0">
      <alignment horizontal="general" vertical="center"/>
    </xf>
    <xf numFmtId="0" fontId="17" fillId="0" borderId="8" applyAlignment="1" pivotButton="0" quotePrefix="0" xfId="0">
      <alignment horizontal="general" vertical="center" wrapText="1"/>
    </xf>
    <xf numFmtId="0" fontId="17" fillId="0" borderId="9" applyAlignment="1" pivotButton="0" quotePrefix="0" xfId="0">
      <alignment horizontal="general" vertical="center" wrapText="1"/>
    </xf>
    <xf numFmtId="0" fontId="17" fillId="0" borderId="10" applyAlignment="1" pivotButton="0" quotePrefix="0" xfId="0">
      <alignment horizontal="general" vertical="center" wrapText="1"/>
    </xf>
    <xf numFmtId="0" fontId="17" fillId="0" borderId="11" applyAlignment="1" pivotButton="0" quotePrefix="0" xfId="0">
      <alignment horizontal="general" vertical="center" wrapText="1"/>
    </xf>
    <xf numFmtId="0" fontId="17" fillId="0" borderId="12" applyAlignment="1" pivotButton="0" quotePrefix="0" xfId="0">
      <alignment horizontal="general" vertical="center" wrapText="1"/>
    </xf>
    <xf numFmtId="0" fontId="17" fillId="0" borderId="13" applyAlignment="1" pivotButton="0" quotePrefix="0" xfId="0">
      <alignment horizontal="general" vertical="center" wrapText="1"/>
    </xf>
    <xf numFmtId="0" fontId="17" fillId="0" borderId="14" applyAlignment="1" pivotButton="0" quotePrefix="0" xfId="0">
      <alignment horizontal="general" vertical="center" wrapText="1"/>
    </xf>
    <xf numFmtId="0" fontId="17" fillId="0" borderId="15" applyAlignment="1" pivotButton="0" quotePrefix="0" xfId="0">
      <alignment horizontal="general" vertical="center" wrapText="1"/>
    </xf>
    <xf numFmtId="0" fontId="17" fillId="0" borderId="16" applyAlignment="1" pivotButton="0" quotePrefix="0" xfId="0">
      <alignment horizontal="general" vertical="center" wrapText="1"/>
    </xf>
    <xf numFmtId="0" fontId="14" fillId="8" borderId="0" applyAlignment="1" pivotButton="0" quotePrefix="0" xfId="0">
      <alignment horizontal="general" vertical="center"/>
    </xf>
    <xf numFmtId="0" fontId="18" fillId="4" borderId="17" applyAlignment="1" pivotButton="0" quotePrefix="0" xfId="0">
      <alignment horizontal="left" vertical="center" wrapText="1"/>
    </xf>
    <xf numFmtId="0" fontId="0" fillId="0" borderId="46" pivotButton="0" quotePrefix="0" xfId="0"/>
    <xf numFmtId="0" fontId="0" fillId="0" borderId="48"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19" fillId="9" borderId="0" applyAlignment="1" pivotButton="0" quotePrefix="0" xfId="0">
      <alignment horizontal="general" vertical="center" wrapText="1"/>
    </xf>
    <xf numFmtId="0" fontId="15" fillId="7" borderId="0" applyAlignment="1" pivotButton="0" quotePrefix="0" xfId="0">
      <alignment horizontal="center" vertical="center" wrapText="1"/>
    </xf>
    <xf numFmtId="0" fontId="9"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7" fillId="0" borderId="0" applyAlignment="1" pivotButton="0" quotePrefix="0" xfId="0">
      <alignment horizontal="general" vertical="top" wrapText="1"/>
    </xf>
    <xf numFmtId="0" fontId="22" fillId="10" borderId="0"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top" wrapText="1"/>
    </xf>
    <xf numFmtId="0" fontId="25" fillId="11" borderId="0" applyAlignment="1" pivotButton="0" quotePrefix="0" xfId="0">
      <alignment horizontal="general" vertical="bottom"/>
    </xf>
    <xf numFmtId="0" fontId="24"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8">
    <dxf>
      <font>
        <b val="1"/>
        <color rgb="FF842029"/>
      </font>
      <fill>
        <patternFill>
          <bgColor rgb="FFF8D7DA"/>
        </patternFill>
      </fill>
    </dxf>
    <dxf>
      <font>
        <b val="1"/>
        <color rgb="FF9B1C1C"/>
      </font>
      <fill>
        <patternFill>
          <bgColor rgb="FFFCE8E6"/>
        </patternFill>
      </fill>
    </dxf>
    <dxf>
      <font>
        <b val="1"/>
        <color rgb="FF7A4E00"/>
      </font>
      <fill>
        <patternFill>
          <bgColor rgb="FFFFF4CE"/>
        </patternFill>
      </fill>
    </dxf>
    <dxf>
      <font>
        <color rgb="FF1F4D78"/>
      </font>
      <fill>
        <patternFill>
          <bgColor rgb="FFEAF2F8"/>
        </patternFill>
      </fill>
    </dxf>
    <dxf>
      <font>
        <color rgb="FF5F6B76"/>
      </font>
      <fill>
        <patternFill>
          <bgColor rgb="FFF2F4F7"/>
        </patternFill>
      </fill>
    </dxf>
    <dxf>
      <font>
        <color rgb="FF7A4E00"/>
      </font>
      <fill>
        <patternFill>
          <bgColor rgb="FFFFF4CE"/>
        </patternFill>
      </fill>
    </dxf>
    <dxf>
      <font>
        <b val="1"/>
        <color rgb="FF0F5132"/>
      </font>
      <fill>
        <patternFill>
          <bgColor rgb="FFD1E7DD"/>
        </patternFill>
      </fill>
    </dxf>
    <dxf>
      <fill>
        <patternFill patternType="solid">
          <fgColor rgb="FF2E74B5"/>
          <bgColor rgb="FF000000"/>
        </patternFill>
      </fill>
    </dxf>
    <dxf>
      <fill>
        <patternFill patternType="solid">
          <bgColor rgb="FF000000"/>
        </patternFill>
      </fill>
    </dxf>
    <dxf>
      <fill>
        <patternFill patternType="solid">
          <fgColor rgb="FF1F4D78"/>
          <bgColor rgb="FF000000"/>
        </patternFill>
      </fill>
    </dxf>
    <dxf>
      <fill>
        <patternFill patternType="solid">
          <fgColor rgb="FFFFFFFF"/>
          <bgColor rgb="FF000000"/>
        </patternFill>
      </fill>
    </dxf>
    <dxf>
      <fill>
        <patternFill patternType="solid">
          <fgColor rgb="FFEAF2F8"/>
          <bgColor rgb="FF000000"/>
        </patternFill>
      </fill>
    </dxf>
    <dxf>
      <fill>
        <patternFill patternType="solid">
          <fgColor rgb="FFF2F4F7"/>
          <bgColor rgb="FF000000"/>
        </patternFill>
      </fill>
    </dxf>
    <dxf>
      <fill>
        <patternFill patternType="solid">
          <fgColor rgb="FFF8D7DA"/>
          <bgColor rgb="FF000000"/>
        </patternFill>
      </fill>
    </dxf>
    <dxf>
      <fill>
        <patternFill patternType="solid">
          <fgColor rgb="FFFCE8E6"/>
          <bgColor rgb="FF000000"/>
        </patternFill>
      </fill>
    </dxf>
    <dxf>
      <fill>
        <patternFill patternType="solid">
          <fgColor rgb="FFFFF4CE"/>
          <bgColor rgb="FF000000"/>
        </patternFill>
      </fill>
    </dxf>
    <dxf>
      <fill>
        <patternFill patternType="solid">
          <fgColor rgb="FF5F6B76"/>
          <bgColor rgb="FF000000"/>
        </patternFill>
      </fill>
    </dxf>
    <dxf>
      <fill>
        <patternFill patternType="solid">
          <fgColor rgb="FF7A4E00"/>
          <bgColor rgb="FF000000"/>
        </patternFill>
      </fill>
    </dxf>
    <dxf>
      <fill>
        <patternFill patternType="solid">
          <fgColor rgb="FF842029"/>
          <bgColor rgb="FF000000"/>
        </patternFill>
      </fill>
    </dxf>
    <dxf>
      <fill>
        <patternFill patternType="solid">
          <fgColor rgb="FF9B1C1C"/>
          <bgColor rgb="FF000000"/>
        </patternFill>
      </fill>
    </dxf>
    <dxf>
      <fill>
        <patternFill patternType="solid">
          <fgColor rgb="FF111827"/>
          <bgColor rgb="FF000000"/>
        </patternFill>
      </fill>
    </dxf>
    <dxf>
      <font>
        <color rgb="FF000000"/>
      </font>
      <border>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left/>
        <right/>
        <top style="double">
          <color theme="4"/>
        </top>
        <bottom/>
        <diagonal/>
      </border>
    </dxf>
  </dxfs>
  <tableStyles count="1" defaultTableStyle="TableStyleMedium9" defaultPivotStyle="PivotStyleLight16">
    <tableStyle name="TableStyleMedium2" count="7">
      <tableStyleElement type="wholeTable" dxfId="21"/>
      <tableStyleElement type="firstColumnStripe" dxfId="22"/>
      <tableStyleElement type="firstRowStripe" dxfId="23"/>
      <tableStyleElement type="lastColumn" dxfId="24"/>
      <tableStyleElement type="firstColumn" dxfId="25"/>
      <tableStyleElement type="headerRow" dxfId="26"/>
      <tableStyleElement type="totalRow" dxfId="27"/>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7A4E00"/>
      <rgbColor rgb="FF800080"/>
      <rgbColor rgb="FF156082"/>
      <rgbColor rgb="FFCCCCCC"/>
      <rgbColor rgb="FF8B8B8B"/>
      <rgbColor rgb="FF5B9BD5"/>
      <rgbColor rgb="FF842029"/>
      <rgbColor rgb="FFFFF4CE"/>
      <rgbColor rgb="FFEAF2F8"/>
      <rgbColor rgb="FF660066"/>
      <rgbColor rgb="FFFF8080"/>
      <rgbColor rgb="FF1F4E78"/>
      <rgbColor rgb="FFD5DCE3"/>
      <rgbColor rgb="FF000080"/>
      <rgbColor rgb="FFFF00FF"/>
      <rgbColor rgb="FFFFFF00"/>
      <rgbColor rgb="FF00FFFF"/>
      <rgbColor rgb="FF800080"/>
      <rgbColor rgb="FF800000"/>
      <rgbColor rgb="FF008080"/>
      <rgbColor rgb="FF0000FF"/>
      <rgbColor rgb="FF00CCFF"/>
      <rgbColor rgb="FFF2F4F7"/>
      <rgbColor rgb="FFD1E7DD"/>
      <rgbColor rgb="FFFCE8E6"/>
      <rgbColor rgb="FFD9D9D9"/>
      <rgbColor rgb="FFFF99CC"/>
      <rgbColor rgb="FFCC99FF"/>
      <rgbColor rgb="FFF8D7DA"/>
      <rgbColor rgb="FF2E74B5"/>
      <rgbColor rgb="FF46B1E1"/>
      <rgbColor rgb="FF99CC00"/>
      <rgbColor rgb="FFFFCC00"/>
      <rgbColor rgb="FFFF9900"/>
      <rgbColor rgb="FFFF6600"/>
      <rgbColor rgb="FF5F6B76"/>
      <rgbColor rgb="FF969696"/>
      <rgbColor rgb="FF0B2545"/>
      <rgbColor rgb="FF339966"/>
      <rgbColor rgb="FF111827"/>
      <rgbColor rgb="FF333300"/>
      <rgbColor rgb="FF9B1C1C"/>
      <rgbColor rgb="FF993366"/>
      <rgbColor rgb="FF1F4D78"/>
      <rgbColor rgb="FF0F513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ea typeface="Calibri"/>
              </a:rPr>
              <a:t>Findings by severity</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"Count"</f>
              <strCache>
                <ptCount val="1"/>
                <pt idx="0">
                  <v>Count</v>
                </pt>
              </strCache>
            </strRef>
          </tx>
          <spPr>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ea typeface="Calibri"/>
                  </a:defRPr>
                </a:pPr>
                <a:r>
                  <a:t>None</a:t>
                </a:r>
              </a:p>
            </txPr>
            <dLblPos val="outEnd"/>
            <showLegendKey val="0"/>
            <showVal val="0"/>
            <showCatName val="0"/>
            <showSerName val="0"/>
            <showPercent val="0"/>
          </dLbls>
          <cat>
            <strRef>
              <f>Summary!$A$10:$A$14</f>
              <strCache>
                <ptCount val="5"/>
                <pt idx="0">
                  <v>BLOCKER</v>
                </pt>
                <pt idx="1">
                  <v>CRITICAL</v>
                </pt>
                <pt idx="2">
                  <v>MAJOR</v>
                </pt>
                <pt idx="3">
                  <v>MODERATE</v>
                </pt>
                <pt idx="4">
                  <v>MINOR</v>
                </pt>
              </strCache>
            </strRef>
          </cat>
          <val>
            <numRef>
              <f>Summary!$B$10:$B$14</f>
              <numCache>
                <formatCode>General</formatCode>
                <ptCount val="5"/>
                <pt idx="0">
                  <v>4</v>
                </pt>
                <pt idx="1">
                  <v>5</v>
                </pt>
                <pt idx="2">
                  <v>11</v>
                </pt>
                <pt idx="3">
                  <v>9</v>
                </pt>
                <pt idx="4">
                  <v>2</v>
                </pt>
              </numCache>
            </numRef>
          </val>
        </ser>
        <gapWidth val="150"/>
        <overlap val="0"/>
        <axId val="27935626"/>
        <axId val="60479080"/>
      </barChart>
      <catAx>
        <axId val="27935626"/>
        <scaling>
          <orientation val="minMax"/>
        </scaling>
        <delete val="0"/>
        <axPos val="b"/>
        <majorGridlines>
          <spPr>
            <a:ln xmlns:a="http://schemas.openxmlformats.org/drawingml/2006/main" w="9360">
              <a:solidFill>
                <a:srgbClr val="CCCCCC"/>
              </a:solidFill>
              <a:prstDash val="dash"/>
              <a:round/>
            </a:ln>
          </spPr>
        </majorGridlines>
        <numFmt formatCode="0" sourceLinked="0"/>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675" b="0" strike="noStrike">
                <a:solidFill>
                  <a:srgbClr val="000000"/>
                </a:solidFill>
                <a:uFillTx/>
                <a:latin typeface="Calibri"/>
                <a:ea typeface="Calibri"/>
              </a:defRPr>
            </a:pPr>
            <a:r>
              <a:t>None</a:t>
            </a:r>
          </a:p>
        </txPr>
        <crossAx val="60479080"/>
        <crosses val="autoZero"/>
        <auto val="1"/>
        <lblAlgn val="ctr"/>
        <lblOffset val="100"/>
        <noMultiLvlLbl val="0"/>
      </catAx>
      <valAx>
        <axId val="60479080"/>
        <scaling>
          <orientation val="minMax"/>
        </scaling>
        <delete val="0"/>
        <axPos val="l"/>
        <majorGridlines>
          <spPr>
            <a:ln xmlns:a="http://schemas.openxmlformats.org/drawingml/2006/main" w="9360">
              <a:solidFill>
                <a:srgbClr val="CCCCCC"/>
              </a:solidFill>
              <a:prstDash val="dash"/>
              <a:round/>
            </a:ln>
          </spPr>
        </majorGridlines>
        <numFmt formatCode="General" sourceLinked="0"/>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675" b="0" strike="noStrike">
                <a:solidFill>
                  <a:srgbClr val="000000"/>
                </a:solidFill>
                <a:uFillTx/>
                <a:latin typeface="Calibri"/>
                <a:ea typeface="Calibri"/>
              </a:defRPr>
            </a:pPr>
            <a:r>
              <a:t>None</a:t>
            </a:r>
          </a:p>
        </txPr>
        <crossAx val="27935626"/>
        <crosses val="autoZero"/>
        <crossBetween val="between"/>
      </valAx>
    </plotArea>
    <plotVisOnly val="1"/>
    <dispBlanksAs val="gap"/>
  </chart>
  <spPr>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4</col>
      <colOff>0</colOff>
      <row>7</row>
      <rowOff>0</rowOff>
    </from>
    <to>
      <col>8</col>
      <colOff>981360</colOff>
      <row>22</row>
      <rowOff>185040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ActionRegisterTable" displayName="ActionRegisterTable" ref="A4:H35" headerRowCount="1" totalsRowCount="0" totalsRowShown="0">
  <tableColumns count="8">
    <tableColumn id="1" name="ID"/>
    <tableColumn id="2" name="Severity"/>
    <tableColumn id="3" name="Pass"/>
    <tableColumn id="4" name="Issue"/>
    <tableColumn id="5" name="Required action"/>
    <tableColumn id="6" name="Acceptance criterion"/>
    <tableColumn id="7" name="Suggested owner"/>
    <tableColumn id="8" name="Status"/>
  </tableColumns>
  <tableStyleInfo name="TableStyleMedium2" showFirstColumn="0" showLastColumn="0" showRowStripes="1" showColumnStripes="0"/>
</table>
</file>

<file path=xl/tables/table2.xml><?xml version="1.0" encoding="utf-8"?>
<table xmlns="http://schemas.openxmlformats.org/spreadsheetml/2006/main" id="2" name="EvidenceIndexTable" displayName="EvidenceIndexTable" ref="A4:C35" headerRowCount="1" totalsRowCount="0" totalsRowShown="0">
  <tableColumns count="3">
    <tableColumn id="1" name="ID"/>
    <tableColumn id="2" name="Finding"/>
    <tableColumn id="3" name="Evidence summary"/>
  </tableColumns>
  <tableStyleInfo name="TableStyleMedium2" showFirstColumn="0" showLastColumn="0" showRowStripes="1" showColumnStripes="0"/>
</table>
</file>

<file path=xl/tables/table3.xml><?xml version="1.0" encoding="utf-8"?>
<table xmlns="http://schemas.openxmlformats.org/spreadsheetml/2006/main" id="3" name="ReleaseChecklistTable" displayName="ReleaseChecklistTable" ref="A4:F22" headerRowCount="1" totalsRowCount="0" totalsRowShown="0">
  <tableColumns count="6">
    <tableColumn id="1" name="ID"/>
    <tableColumn id="2" name="Release gate"/>
    <tableColumn id="3" name="Acceptance evidence"/>
    <tableColumn id="4" name="Suggested owner"/>
    <tableColumn id="5" name="Status"/>
    <tableColumn id="6" name="Notes / current evidenc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I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9" customWidth="1" style="47" min="1" max="1"/>
    <col width="12" customWidth="1" style="47" min="2" max="2"/>
    <col width="26" customWidth="1" style="47" min="3" max="3"/>
    <col width="4" customWidth="1" style="47" min="4" max="4"/>
    <col width="14" customWidth="1" style="47" min="5" max="9"/>
  </cols>
  <sheetData>
    <row r="1" ht="30" customHeight="1" s="48">
      <c r="A1" s="49" t="inlineStr">
        <is>
          <t>Codomyrmex Review Action Register</t>
        </is>
      </c>
    </row>
    <row r="2" ht="21.75" customHeight="1" s="48">
      <c r="A2" s="50" t="inlineStr">
        <is>
          <t>Consolidated first- and second-pass review | Historical audit e85aee6758726ca1fbba202d0ef1a09d524029e3 | Follow-up baseline 4bd6c1804f2caa905d36bcb39d67bdf8c1d86837 | Publication candidate v1.4.0-rc19 (full revision recorded in manifest) | Evidence 14 July 2026</t>
        </is>
      </c>
    </row>
    <row r="3"/>
    <row r="4" ht="15" customHeight="1" s="48">
      <c r="A4" s="51" t="inlineStr">
        <is>
          <t>Open blockers</t>
        </is>
      </c>
      <c r="B4" s="52" t="n"/>
      <c r="C4" s="53" t="inlineStr">
        <is>
          <t>Open critical</t>
        </is>
      </c>
      <c r="D4" s="54" t="n"/>
      <c r="E4" s="55" t="inlineStr">
        <is>
          <t>Open actions</t>
        </is>
      </c>
      <c r="F4" s="56" t="n"/>
      <c r="G4" s="57" t="inlineStr">
        <is>
          <t>Total findings</t>
        </is>
      </c>
      <c r="H4" s="58" t="n"/>
      <c r="I4" s="59" t="n"/>
    </row>
    <row r="5" ht="15" customHeight="1" s="48">
      <c r="A5" s="60">
        <f>COUNTIFS('Action Register'!$B$5:$B$35,"BLOCKER",'Action Register'!$H$5:$H$35,"&lt;&gt;Closed")</f>
        <v/>
      </c>
      <c r="B5" s="61" t="n"/>
      <c r="C5" s="62">
        <f>COUNTIFS('Action Register'!$B$5:$B$35,"CRITICAL",'Action Register'!$H$5:$H$35,"&lt;&gt;Closed")</f>
        <v/>
      </c>
      <c r="D5" s="63" t="n"/>
      <c r="E5" s="64">
        <f>COUNTIF('Action Register'!$H$5:$H$35,"Open")</f>
        <v/>
      </c>
      <c r="F5" s="65" t="n"/>
      <c r="G5" s="66">
        <f>COUNTA('Action Register'!$A$5:$A$35)</f>
        <v/>
      </c>
      <c r="H5" s="67" t="n"/>
      <c r="I5" s="68" t="n"/>
    </row>
    <row r="6" ht="15" customHeight="1" s="48">
      <c r="A6" s="69" t="n"/>
      <c r="B6" s="70" t="n"/>
      <c r="C6" s="71" t="n"/>
      <c r="D6" s="72" t="n"/>
      <c r="E6" s="73" t="n"/>
      <c r="F6" s="74" t="n"/>
      <c r="G6" s="75" t="n"/>
      <c r="H6" s="76" t="n"/>
      <c r="I6" s="77" t="n"/>
    </row>
    <row r="7"/>
    <row r="8" ht="15" customHeight="1" s="48">
      <c r="A8" s="78" t="inlineStr">
        <is>
          <t>Actions by severity</t>
        </is>
      </c>
    </row>
    <row r="9" ht="30" customHeight="1" s="48">
      <c r="A9" s="79" t="inlineStr">
        <is>
          <t>Severity</t>
        </is>
      </c>
      <c r="B9" s="80" t="inlineStr">
        <is>
          <t>Count</t>
        </is>
      </c>
      <c r="C9" s="81" t="inlineStr">
        <is>
          <t>Not closed</t>
        </is>
      </c>
    </row>
    <row r="10" ht="15" customHeight="1" s="48">
      <c r="A10" s="82" t="inlineStr">
        <is>
          <t>BLOCKER</t>
        </is>
      </c>
      <c r="B10" s="83">
        <f>COUNTIF('Action Register'!$B$5:$B$35,A10)</f>
        <v/>
      </c>
      <c r="C10" s="84">
        <f>COUNTIFS('Action Register'!$B$5:$B$35,A10,'Action Register'!$H$5:$H$35,"&lt;&gt;Closed")</f>
        <v/>
      </c>
    </row>
    <row r="11" ht="15" customHeight="1" s="48">
      <c r="A11" s="85" t="inlineStr">
        <is>
          <t>CRITICAL</t>
        </is>
      </c>
      <c r="B11" s="86">
        <f>COUNTIF('Action Register'!$B$5:$B$35,A11)</f>
        <v/>
      </c>
      <c r="C11" s="87">
        <f>COUNTIFS('Action Register'!$B$5:$B$35,A11,'Action Register'!$H$5:$H$35,"&lt;&gt;Closed")</f>
        <v/>
      </c>
    </row>
    <row r="12" ht="15" customHeight="1" s="48">
      <c r="A12" s="85" t="inlineStr">
        <is>
          <t>MAJOR</t>
        </is>
      </c>
      <c r="B12" s="86">
        <f>COUNTIF('Action Register'!$B$5:$B$35,A12)</f>
        <v/>
      </c>
      <c r="C12" s="87">
        <f>COUNTIFS('Action Register'!$B$5:$B$35,A12,'Action Register'!$H$5:$H$35,"&lt;&gt;Closed")</f>
        <v/>
      </c>
    </row>
    <row r="13" ht="15" customHeight="1" s="48">
      <c r="A13" s="85" t="inlineStr">
        <is>
          <t>MODERATE</t>
        </is>
      </c>
      <c r="B13" s="86">
        <f>COUNTIF('Action Register'!$B$5:$B$35,A13)</f>
        <v/>
      </c>
      <c r="C13" s="87">
        <f>COUNTIFS('Action Register'!$B$5:$B$35,A13,'Action Register'!$H$5:$H$35,"&lt;&gt;Closed")</f>
        <v/>
      </c>
    </row>
    <row r="14" ht="15" customHeight="1" s="48">
      <c r="A14" s="88" t="inlineStr">
        <is>
          <t>MINOR</t>
        </is>
      </c>
      <c r="B14" s="89">
        <f>COUNTIF('Action Register'!$B$5:$B$35,A14)</f>
        <v/>
      </c>
      <c r="C14" s="90">
        <f>COUNTIFS('Action Register'!$B$5:$B$35,A14,'Action Register'!$H$5:$H$35,"&lt;&gt;Closed")</f>
        <v/>
      </c>
    </row>
    <row r="15"/>
    <row r="16" ht="15" customHeight="1" s="48">
      <c r="A16" s="78" t="inlineStr">
        <is>
          <t>Actions by working status</t>
        </is>
      </c>
    </row>
    <row r="17" ht="30" customHeight="1" s="48">
      <c r="A17" s="79" t="inlineStr">
        <is>
          <t>Status</t>
        </is>
      </c>
      <c r="B17" s="80" t="inlineStr">
        <is>
          <t>Count</t>
        </is>
      </c>
      <c r="C17" s="81" t="inlineStr">
        <is>
          <t>Use</t>
        </is>
      </c>
    </row>
    <row r="18" ht="15" customHeight="1" s="48">
      <c r="A18" s="91" t="inlineStr">
        <is>
          <t>Open</t>
        </is>
      </c>
      <c r="B18" s="92">
        <f>COUNTIF('Action Register'!$H$5:$H$35,A18)</f>
        <v/>
      </c>
      <c r="C18" s="93" t="inlineStr">
        <is>
          <t>Unresolved action</t>
        </is>
      </c>
    </row>
    <row r="19" ht="15" customHeight="1" s="48">
      <c r="A19" s="94" t="inlineStr">
        <is>
          <t>Partly addressed</t>
        </is>
      </c>
      <c r="B19" s="95">
        <f>COUNTIF('Action Register'!$H$5:$H$35,A19)</f>
        <v/>
      </c>
      <c r="C19" s="96" t="inlineStr">
        <is>
          <t>Verify remaining work</t>
        </is>
      </c>
    </row>
    <row r="20" ht="15" customHeight="1" s="48">
      <c r="A20" s="94" t="inlineStr">
        <is>
          <t>Addressed - verify</t>
        </is>
      </c>
      <c r="B20" s="95">
        <f>COUNTIF('Action Register'!$H$5:$H$35,A20)</f>
        <v/>
      </c>
      <c r="C20" s="96" t="inlineStr">
        <is>
          <t>Confirm in synchronized release</t>
        </is>
      </c>
    </row>
    <row r="21" ht="15" customHeight="1" s="48">
      <c r="A21" s="94" t="inlineStr">
        <is>
          <t>Optional</t>
        </is>
      </c>
      <c r="B21" s="95">
        <f>COUNTIF('Action Register'!$H$5:$H$35,A21)</f>
        <v/>
      </c>
      <c r="C21" s="96" t="inlineStr">
        <is>
          <t>Editorial/discretionary</t>
        </is>
      </c>
    </row>
    <row r="22" ht="15" customHeight="1" s="48">
      <c r="A22" s="97" t="inlineStr">
        <is>
          <t>Closed</t>
        </is>
      </c>
      <c r="B22" s="98">
        <f>COUNTIF('Action Register'!$H$5:$H$35,A22)</f>
        <v/>
      </c>
      <c r="C22" s="99" t="inlineStr">
        <is>
          <t>Acceptance criterion met</t>
        </is>
      </c>
    </row>
    <row r="23"/>
    <row r="24"/>
    <row r="25" ht="15" customHeight="1" s="48">
      <c r="A25" s="100" t="inlineStr">
        <is>
          <t>Current recommendation</t>
        </is>
      </c>
    </row>
    <row r="26" ht="15" customHeight="1" s="48">
      <c r="A26" s="101" t="inlineStr">
        <is>
          <t>PUBLICATION HOLD. A-002/A-003/A-005/A-006 are verified in the v1.4.0-rc1 candidate; A-001 and A-016 remain open until the candidate evidence is externally published and the provider benchmark is complete.</t>
        </is>
      </c>
      <c r="B26" s="102" t="n"/>
      <c r="C26" s="102" t="n"/>
      <c r="D26" s="102" t="n"/>
      <c r="E26" s="102" t="n"/>
      <c r="F26" s="102" t="n"/>
      <c r="G26" s="102" t="n"/>
      <c r="H26" s="102" t="n"/>
      <c r="I26" s="103" t="n"/>
    </row>
    <row r="27" ht="15" customHeight="1" s="48">
      <c r="A27" s="104" t="n"/>
      <c r="I27" s="105" t="n"/>
    </row>
    <row r="28" ht="15" customHeight="1" s="48">
      <c r="A28" s="106" t="n"/>
      <c r="B28" s="107" t="n"/>
      <c r="C28" s="107" t="n"/>
      <c r="D28" s="107" t="n"/>
      <c r="E28" s="107" t="n"/>
      <c r="F28" s="107" t="n"/>
      <c r="G28" s="107" t="n"/>
      <c r="H28" s="107" t="n"/>
      <c r="I28" s="108" t="n"/>
    </row>
    <row r="29"/>
    <row r="30" ht="15" customHeight="1" s="48">
      <c r="A30" s="109" t="inlineStr">
        <is>
          <t>Source package: consolidated two-pass report and reproduction evidence. Public repository: https://github.com/docxology/codomyrmex/commit/e85aee6758726ca1fbba202d0ef1a09d524029e3</t>
        </is>
      </c>
    </row>
    <row r="31" ht="15" customHeight="1" s="48"/>
  </sheetData>
  <mergeCells count="15">
    <mergeCell ref="A4:B4"/>
    <mergeCell ref="E4:F4"/>
    <mergeCell ref="A25:I25"/>
    <mergeCell ref="A2:I2"/>
    <mergeCell ref="G5:I6"/>
    <mergeCell ref="A8:C8"/>
    <mergeCell ref="A1:I1"/>
    <mergeCell ref="C5:D6"/>
    <mergeCell ref="A5:B6"/>
    <mergeCell ref="G4:I4"/>
    <mergeCell ref="E5:F6"/>
    <mergeCell ref="A26:I28"/>
    <mergeCell ref="A30:I31"/>
    <mergeCell ref="A16:C16"/>
    <mergeCell ref="C4:D4"/>
  </mergeCells>
  <conditionalFormatting sqref="A10:A14">
    <cfRule type="containsText" rank="0" priority="2" equalAverage="0" operator="containsText" aboveAverage="0" dxfId="0" text="BLOCKER" percent="0" bottom="0">
      <formula>NOT(ISERROR(SEARCH("BLOCKER",A10)))</formula>
    </cfRule>
    <cfRule type="containsText" rank="0" priority="3" equalAverage="0" operator="containsText" aboveAverage="0" dxfId="1" text="CRITICAL" percent="0" bottom="0">
      <formula>NOT(ISERROR(SEARCH("CRITICAL",A10)))</formula>
    </cfRule>
    <cfRule type="containsText" rank="0" priority="4" equalAverage="0" operator="containsText" aboveAverage="0" dxfId="2" text="MAJOR" percent="0" bottom="0">
      <formula>NOT(ISERROR(SEARCH("MAJOR",A10)))</formula>
    </cfRule>
    <cfRule type="containsText" rank="0" priority="5" equalAverage="0" operator="containsText" aboveAverage="0" dxfId="3" text="MODERATE" percent="0" bottom="0">
      <formula>NOT(ISERROR(SEARCH("MODERATE",A10)))</formula>
    </cfRule>
    <cfRule type="containsText" rank="0" priority="6" equalAverage="0" operator="containsText" aboveAverage="0" dxfId="4" text="MINOR" percent="0" bottom="0">
      <formula>NOT(ISERROR(SEARCH("MINOR",A10)))</formula>
    </cfRule>
  </conditionalFormatting>
  <conditionalFormatting sqref="A18:A22">
    <cfRule type="containsText" rank="0" priority="7" equalAverage="0" operator="containsText" aboveAverage="0" dxfId="0" text="Open" percent="0" bottom="0">
      <formula>NOT(ISERROR(SEARCH("Open",A18)))</formula>
    </cfRule>
    <cfRule type="containsText" rank="0" priority="8" equalAverage="0" operator="containsText" aboveAverage="0" dxfId="5" text="Partly addressed" percent="0" bottom="0">
      <formula>NOT(ISERROR(SEARCH("Partly addressed",A18)))</formula>
    </cfRule>
    <cfRule type="containsText" rank="0" priority="9" equalAverage="0" operator="containsText" aboveAverage="0" dxfId="3" text="Addressed - verify" percent="0" bottom="0">
      <formula>NOT(ISERROR(SEARCH("Addressed - verify",A18)))</formula>
    </cfRule>
    <cfRule type="containsText" rank="0" priority="10" equalAverage="0" operator="containsText" aboveAverage="0" dxfId="6" text="Closed" percent="0" bottom="0">
      <formula>NOT(ISERROR(SEARCH("Closed",A18)))</formula>
    </cfRule>
    <cfRule type="containsText" rank="0" priority="11" equalAverage="0" operator="containsText" aboveAverage="0" dxfId="4" text="Optional" percent="0" bottom="0">
      <formula>NOT(ISERROR(SEARCH("Optional",A18)))</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 customWidth="1" style="47" min="1" max="1"/>
    <col width="13" customWidth="1" style="47" min="2" max="2"/>
    <col width="11" customWidth="1" style="47" min="3" max="3"/>
    <col width="43" customWidth="1" style="47" min="4" max="4"/>
    <col width="47" customWidth="1" style="47" min="5" max="5"/>
    <col width="55" customWidth="1" style="47" min="6" max="6"/>
    <col width="25" customWidth="1" style="47" min="7" max="7"/>
    <col width="21" customWidth="1" style="47" min="8" max="8"/>
    <col width="72" customWidth="1" style="47" min="9" max="9"/>
  </cols>
  <sheetData>
    <row r="1" ht="30" customHeight="1" s="48">
      <c r="A1" s="49" t="inlineStr">
        <is>
          <t>Prioritized Action Register</t>
        </is>
      </c>
    </row>
    <row r="2" ht="21.75" customHeight="1" s="48">
      <c r="A2" s="50" t="inlineStr">
        <is>
          <t>Update Owner and Status as work proceeds. Evidence is cross-referenced by ID on the Evidence Index sheet.</t>
        </is>
      </c>
    </row>
    <row r="3"/>
    <row r="4" ht="30" customHeight="1" s="48">
      <c r="A4" s="79" t="inlineStr">
        <is>
          <t>ID</t>
        </is>
      </c>
      <c r="B4" s="80" t="inlineStr">
        <is>
          <t>Severity</t>
        </is>
      </c>
      <c r="C4" s="80" t="inlineStr">
        <is>
          <t>Pass</t>
        </is>
      </c>
      <c r="D4" s="80" t="inlineStr">
        <is>
          <t>Issue</t>
        </is>
      </c>
      <c r="E4" s="80" t="inlineStr">
        <is>
          <t>Required action</t>
        </is>
      </c>
      <c r="F4" s="80" t="inlineStr">
        <is>
          <t>Acceptance criterion</t>
        </is>
      </c>
      <c r="G4" s="80" t="inlineStr">
        <is>
          <t>Suggested owner</t>
        </is>
      </c>
      <c r="H4" s="81" t="inlineStr">
        <is>
          <t>Status</t>
        </is>
      </c>
      <c r="I4" s="110" t="inlineStr">
        <is>
          <t>Current candidate follow-up (v1.4.0-rc19; baseline 4bd6c1804f2caa905d36bcb39d67bdf8c1d86837)</t>
        </is>
      </c>
    </row>
    <row r="5" ht="42.75" customHeight="1" s="48">
      <c r="A5" s="111" t="inlineStr">
        <is>
          <t>A-001</t>
        </is>
      </c>
      <c r="B5" s="112" t="inlineStr">
        <is>
          <t>BLOCKER</t>
        </is>
      </c>
      <c r="C5" s="112" t="inlineStr">
        <is>
          <t>Pass 2</t>
        </is>
      </c>
      <c r="D5" s="113" t="inlineStr">
        <is>
          <t>The reviewed July 12 PDF is not the manuscript artifact committed on the cited public main branch.</t>
        </is>
      </c>
      <c r="E5" s="113" t="inlineStr">
        <is>
          <t>Push the exact PDF-generating source tree, including manuscript edits and Colony Kernel changes, to a public branch or release tag. Record the full commit, submodule revisions, dirty status, diff status, lockfile hash, and output hashes.</t>
        </is>
      </c>
      <c r="F5" s="113" t="inlineStr">
        <is>
          <t>A fresh clone of the named immutable revision, with a clean worktree, regenerates a PDF whose recorded hash matches the release artifact; all source and result files used by the paper are present.</t>
        </is>
      </c>
      <c r="G5" s="113" t="inlineStr">
        <is>
          <t>Daniel + release maintainer</t>
        </is>
      </c>
      <c r="H5" s="112" t="inlineStr">
        <is>
          <t>Open</t>
        </is>
      </c>
      <c r="I5" s="114" t="inlineStr">
        <is>
          <t>Candidate is committed and tagged v1.4.0-rc19; clean-clone verifier passes all available integrity gates. Publication remains held by R-20 and public evidence attachment.</t>
        </is>
      </c>
    </row>
    <row r="6" ht="42.75" customHeight="1" s="48">
      <c r="A6" s="111" t="inlineStr">
        <is>
          <t>A-002</t>
        </is>
      </c>
      <c r="B6" s="112" t="inlineStr">
        <is>
          <t>BLOCKER</t>
        </is>
      </c>
      <c r="C6" s="112" t="inlineStr">
        <is>
          <t>Pass 2</t>
        </is>
      </c>
      <c r="D6" s="113" t="inlineStr">
        <is>
          <t>The manuscript's headline failed-outcome locality result is false on the cited public revision.</t>
        </is>
      </c>
      <c r="E6" s="113" t="inlineStr">
        <is>
          <t>Either publish the implementation that computes max(RISK, FAILURE), with the paired test, or revise the manuscript to the RISK-only behavior actually released.</t>
        </is>
      </c>
      <c r="F6" s="113" t="inlineStr">
        <is>
          <t>A test using production classes asserts: clear same target 0.875/EXECUTE; after a TEST-source FAILURE deposit effective pressure is 3.0 and same target is 0.725/HOLD; an unrelated target remains 0.875/EXECUTE; decay restores the clear result. The test passes from a clean checkout.</t>
        </is>
      </c>
      <c r="G6" s="113" t="inlineStr">
        <is>
          <t>Colony Kernel maintainer</t>
        </is>
      </c>
      <c r="H6" s="112" t="inlineStr">
        <is>
          <t>Addressed - verify</t>
        </is>
      </c>
      <c r="I6" s="114" t="inlineStr">
        <is>
          <t>Implemented and tested from real kernel components: 0.875 EXECUTE -&gt; 0.725 HOLD at same target after TEST FAILURE pressure 3.0; unrelated target and 20-tick recovery return 0.875 EXECUTE. Clean-clone replay at v1.4.0-rc19 is complete.</t>
        </is>
      </c>
    </row>
    <row r="7" ht="32.25" customHeight="1" s="48">
      <c r="A7" s="111" t="inlineStr">
        <is>
          <t>A-003</t>
        </is>
      </c>
      <c r="B7" s="112" t="inlineStr">
        <is>
          <t>BLOCKER</t>
        </is>
      </c>
      <c r="C7" s="112" t="inlineStr">
        <is>
          <t>Pass 2</t>
        </is>
      </c>
      <c r="D7" s="113" t="inlineStr">
        <is>
          <t>The manuscript and current-results counts do not reproduce on public main.</t>
        </is>
      </c>
      <c r="E7" s="113" t="inlineStr">
        <is>
          <t>Rerun all claimed quality gates on the exact release snapshot and update the paper and evidence bundle from that run. Do not transfer results across worktrees.</t>
        </is>
      </c>
      <c r="F7" s="113" t="inlineStr">
        <is>
          <t>One archived machine-readable run identifies collected, passed, skipped, failed and errored tests separately; the manuscript numbers equal that run exactly; coverage numerator, denominator and rounding rule are included.</t>
        </is>
      </c>
      <c r="G7" s="113" t="inlineStr">
        <is>
          <t>Daniel + test/release maintainer</t>
        </is>
      </c>
      <c r="H7" s="112" t="inlineStr">
        <is>
          <t>Addressed - verify</t>
        </is>
      </c>
      <c r="I7" s="114" t="inlineStr">
        <is>
          <t>Fresh candidate run: 840 JUnit-collected / 840 passed / 0 skipped / 0 failed / 0 errors (841 pytest items collected; 1 deselected); branch 74.37185929648241% (592/796 branches); line 82.59604190919674% (2,246/2,640 lines); floor 60.0%. Machine-readable status/JUnit/coverage are current. Clean-clone replay at v1.4.0-rc19 is complete.</t>
        </is>
      </c>
    </row>
    <row r="8" ht="32.25" customHeight="1" s="48">
      <c r="A8" s="111" t="inlineStr">
        <is>
          <t>A-004</t>
        </is>
      </c>
      <c r="B8" s="112" t="inlineStr">
        <is>
          <t>BLOCKER</t>
        </is>
      </c>
      <c r="C8" s="112" t="inlineStr">
        <is>
          <t>Pass 2</t>
        </is>
      </c>
      <c r="D8" s="113" t="inlineStr">
        <is>
          <t>The primary reproduction route in the attachment does not exist in the cited repository.</t>
        </is>
      </c>
      <c r="E8" s="113" t="inlineStr">
        <is>
          <t>Name and link the outer template repository and exact revision if it is required, or replace the instructions with commands that operate from the public Codomyrmex root.</t>
        </is>
      </c>
      <c r="F8" s="113" t="inlineStr">
        <is>
          <t>An independent reviewer can paste the documented commands into a fresh clone, without guessing another repository, and generate every reported metric, figure, HTML file and PDF.</t>
        </is>
      </c>
      <c r="G8" s="113" t="inlineStr">
        <is>
          <t>Daniel + release maintainer</t>
        </is>
      </c>
      <c r="H8" s="112" t="inlineStr">
        <is>
          <t>Addressed - verify</t>
        </is>
      </c>
      <c r="I8" s="114" t="inlineStr">
        <is>
          <t>Reproduction commands operate from the Codomyrmex root and use the local compiler/generator. Clean-clone replay at v1.4.0-rc19 is complete.</t>
        </is>
      </c>
    </row>
    <row r="9" ht="32.25" customHeight="1" s="48">
      <c r="A9" s="111" t="inlineStr">
        <is>
          <t>A-005</t>
        </is>
      </c>
      <c r="B9" s="112" t="inlineStr">
        <is>
          <t>CRITICAL</t>
        </is>
      </c>
      <c r="C9" s="112" t="inlineStr">
        <is>
          <t>Pass 2</t>
        </is>
      </c>
      <c r="D9" s="113" t="inlineStr">
        <is>
          <t>The recent-failure trust penalty is not wired into the integrated kernel.</t>
        </is>
      </c>
      <c r="E9" s="113" t="inlineStr">
        <is>
          <t>Inject the same ConsequenceMemory instance into ActuationGate, or remove the integrated-coupling claim until it is wired.</t>
        </is>
      </c>
      <c r="F9" s="113" t="inlineStr">
        <is>
          <t>An integration test records three linked failed outcomes and demonstrates the documented trust_ok decrement and exact score change through ColonyKernel.propose_action; a control agent without failures remains unchanged.</t>
        </is>
      </c>
      <c r="G9" s="113" t="inlineStr">
        <is>
          <t>Colony Kernel maintainer</t>
        </is>
      </c>
      <c r="H9" s="112" t="inlineStr">
        <is>
          <t>Addressed - verify</t>
        </is>
      </c>
      <c r="I9" s="114" t="inlineStr">
        <is>
          <t>ColonyKernel shares ConsequenceMemory with ActuationGate; causal locality and trust-pressure contracts pass in the publication suite. Clean-clone replay at v1.4.0-rc19 is complete.</t>
        </is>
      </c>
    </row>
    <row r="10" ht="42.75" customHeight="1" s="48">
      <c r="A10" s="111" t="inlineStr">
        <is>
          <t>A-006</t>
        </is>
      </c>
      <c r="B10" s="112" t="inlineStr">
        <is>
          <t>CRITICAL</t>
        </is>
      </c>
      <c r="C10" s="112" t="inlineStr">
        <is>
          <t>Pass 2</t>
        </is>
      </c>
      <c r="D10" s="113" t="inlineStr">
        <is>
          <t>Standalone budget enforcement is defeated by a return-type mismatch.</t>
        </is>
      </c>
      <c r="E10" s="113" t="inlineStr">
        <is>
          <t>Unpack the tuple or standardize can_afford to one boolean protocol; add contract typing so a tuple cannot silently satisfy a boolean interface.</t>
        </is>
      </c>
      <c r="F10" s="113" t="inlineStr">
        <is>
          <t>Using the real ResourceLedger, every exceeded dimension causes standalone REFUSE with score 0.0 and budget_approved=False; affordable cases remain unchanged; kernel-mode budget failure retains the deliberately documented HOLD behavior if that policy is kept.</t>
        </is>
      </c>
      <c r="G10" s="113" t="inlineStr">
        <is>
          <t>Colony Kernel maintainer</t>
        </is>
      </c>
      <c r="H10" s="112" t="inlineStr">
        <is>
          <t>Addressed - verify</t>
        </is>
      </c>
      <c r="I10" s="114" t="inlineStr">
        <is>
          <t>Real ResourceLedger contracts cover all seven dimensions; standalone over-budget is REFUSE/0.0 and integrated routing is documented HOLD. Clean-clone replay at v1.4.0-rc19 is complete.</t>
        </is>
      </c>
    </row>
    <row r="11" ht="32.25" customHeight="1" s="48">
      <c r="A11" s="111" t="inlineStr">
        <is>
          <t>A-007</t>
        </is>
      </c>
      <c r="B11" s="112" t="inlineStr">
        <is>
          <t>CRITICAL</t>
        </is>
      </c>
      <c r="C11" s="112" t="inlineStr">
        <is>
          <t>Pass 2</t>
        </is>
      </c>
      <c r="D11" s="113" t="inlineStr">
        <is>
          <t>Integrated falsification discards proposal fields needed by its own checks.</t>
        </is>
      </c>
      <c r="E11" s="113" t="inlineStr">
        <is>
          <t>Define one typed conversion from ActionProposal to the full falsification plan schema and pass every field the checks consume; reject unknown or absent required values explicitly.</t>
        </is>
      </c>
      <c r="F11" s="113" t="inlineStr">
        <is>
          <t>A fully specified clean proposal yields the expected no-finding baseline; removing each required field triggers only the intended finding; all check inputs are covered by schema and integration tests.</t>
        </is>
      </c>
      <c r="G11" s="113" t="inlineStr">
        <is>
          <t>Falsification/code maintainer</t>
        </is>
      </c>
      <c r="H11" s="112" t="inlineStr">
        <is>
          <t>Addressed - verify</t>
        </is>
      </c>
      <c r="I11" s="114" t="inlineStr">
        <is>
          <t>ActionProposal has one typed conversion to the complete falsification plan; every named field is covered by production-component tests. Clean-clone replay at v1.4.0-rc19 is complete.</t>
        </is>
      </c>
    </row>
    <row r="12" ht="42.75" customHeight="1" s="48">
      <c r="A12" s="111" t="inlineStr">
        <is>
          <t>A-008</t>
        </is>
      </c>
      <c r="B12" s="112" t="inlineStr">
        <is>
          <t>CRITICAL</t>
        </is>
      </c>
      <c r="C12" s="112" t="inlineStr">
        <is>
          <t>Both</t>
        </is>
      </c>
      <c r="D12" s="113" t="inlineStr">
        <is>
          <t>Pre-execution paths are recorded as environmental FAILURE even though no action executed.</t>
        </is>
      </c>
      <c r="E12" s="113" t="inlineStr">
        <is>
          <t>Stop depositing outcome FAILURE on REFUSE or prospective findings. Introduce separate GATE_REFUSAL/POLICY_REJECTION and finding/RISK channels; reserve FAILURE for the explicitly caller-reported outcome path, with execution linkage required for stronger attestation claims.</t>
        </is>
      </c>
      <c r="F12" s="113" t="inlineStr">
        <is>
          <t>A refused or merely falsified-but-unexecuted proposal never increments adverse-outcome evidence; repeated policy events cannot manufacture failure pressure; caller-reported failed outcomes still deposit FAILURE and are labeled by evidence grade.</t>
        </is>
      </c>
      <c r="G12" s="113" t="inlineStr">
        <is>
          <t>Colony Kernel maintainer + Daniel</t>
        </is>
      </c>
      <c r="H12" s="112" t="inlineStr">
        <is>
          <t>Addressed - verify</t>
        </is>
      </c>
      <c r="I12" s="114" t="inlineStr">
        <is>
          <t>Policy rejection uses POLICY_REJECTION, prospective findings use RISK, and FAILURE is reserved for caller-reported or attested adverse outcomes. Contracts pass.</t>
        </is>
      </c>
    </row>
    <row r="13" ht="54" customHeight="1" s="48">
      <c r="A13" s="111" t="inlineStr">
        <is>
          <t>A-009</t>
        </is>
      </c>
      <c r="B13" s="112" t="inlineStr">
        <is>
          <t>CRITICAL</t>
        </is>
      </c>
      <c r="C13" s="112" t="inlineStr">
        <is>
          <t>Both</t>
        </is>
      </c>
      <c r="D13" s="113" t="inlineStr">
        <is>
          <t>Outcome records are unlinked, unauthenticated caller assertions.</t>
        </is>
      </c>
      <c r="E13" s="113" t="inlineStr">
        <is>
          <t>Require a prior approved proposal or capability identifier, bind the reporter and target, preserve the original proposal, accept verifiable test/execution evidence, and reject duplicates and outcomes for HOLD/REFUSE proposals. If intentionally out of scope, call the data caller-reported claims throughout and prohibit security conclusions.</t>
        </is>
      </c>
      <c r="F13" s="113" t="inlineStr">
        <is>
          <t>Negative tests reject invented, duplicated, cross-agent, cross-target and never-authorized outcomes; accepted records trace to one consumed EXECUTE authorization and immutable evidence metadata.</t>
        </is>
      </c>
      <c r="G13" s="113" t="inlineStr">
        <is>
          <t>API/security maintainer</t>
        </is>
      </c>
      <c r="H13" s="112" t="inlineStr">
        <is>
          <t>Addressed - verify</t>
        </is>
      </c>
      <c r="I13" s="114" t="inlineStr">
        <is>
          <t>Strict profile now requires signed, scoped, expiring, single-use authorization plus executor receipt; unattested reports are quarantined and cannot mutate trust/failure state. Clean-clone replay at v1.4.0-rc19 is complete.</t>
        </is>
      </c>
    </row>
    <row r="14" ht="32.25" customHeight="1" s="48">
      <c r="A14" s="111" t="inlineStr">
        <is>
          <t>A-010</t>
        </is>
      </c>
      <c r="B14" s="112" t="inlineStr">
        <is>
          <t>MAJOR</t>
        </is>
      </c>
      <c r="C14" s="112" t="inlineStr">
        <is>
          <t>Pass 1</t>
        </is>
      </c>
      <c r="D14" s="113" t="inlineStr">
        <is>
          <t>The gate is advisory rather than an actuation enforcement boundary.</t>
        </is>
      </c>
      <c r="E14" s="113" t="inlineStr">
        <is>
          <t>Either implement an enforcement point that is the only route to protected actions, or consistently describe the component as an advisory decision service/prototype.</t>
        </is>
      </c>
      <c r="F14" s="113" t="inlineStr">
        <is>
          <t>All protected actuation paths require a single-use, scope-bound EXECUTE authorization, or the title, abstract, diagrams and conclusions make no enforcement claim and explicitly state bypassability.</t>
        </is>
      </c>
      <c r="G14" s="113" t="inlineStr">
        <is>
          <t>Daniel + architecture maintainer</t>
        </is>
      </c>
      <c r="H14" s="112" t="inlineStr">
        <is>
          <t>Addressed - verify</t>
        </is>
      </c>
      <c r="I14" s="114" t="inlineStr">
        <is>
          <t>Strict RegisteredActionExecutor rejects direct protected execution without a consumed authorization; advisory mode remains explicitly bypassable. Clean-clone replay at v1.4.0-rc19 is complete.</t>
        </is>
      </c>
    </row>
    <row r="15" ht="32.25" customHeight="1" s="48">
      <c r="A15" s="111" t="inlineStr">
        <is>
          <t>A-011</t>
        </is>
      </c>
      <c r="B15" s="112" t="inlineStr">
        <is>
          <t>MAJOR</t>
        </is>
      </c>
      <c r="C15" s="112" t="inlineStr">
        <is>
          <t>Pass 2</t>
        </is>
      </c>
      <c r="D15" s="113" t="inlineStr">
        <is>
          <t>The Colony Kernel is not the repository-wide control plane described by project documentation.</t>
        </is>
      </c>
      <c r="E15" s="113" t="inlineStr">
        <is>
          <t>Limit the claim to an optional Colony Kernel/MCP prototype, or integrate and test all in-scope action paths through the gate. Reconcile README, AGENTS, SPEC and paper language.</t>
        </is>
      </c>
      <c r="F15" s="113" t="inlineStr">
        <is>
          <t>A documented scope map lists every governed and bypass path. No document says 'every agent action' unless an automated architecture test proves every in-scope actuator depends on the enforcement boundary.</t>
        </is>
      </c>
      <c r="G15" s="113" t="inlineStr">
        <is>
          <t>Daniel + architecture/docs maintainer</t>
        </is>
      </c>
      <c r="H15" s="112" t="inlineStr">
        <is>
          <t>Addressed - verify</t>
        </is>
      </c>
      <c r="I15" s="114" t="inlineStr">
        <is>
          <t>Governed action scope is explicit for patch_file, run_tests, and archive_module; absolute/traversal/out-of-scope targets fail closed. Clean-clone replay at v1.4.0-rc19 is complete.</t>
        </is>
      </c>
    </row>
    <row r="16" ht="32.25" customHeight="1" s="48">
      <c r="A16" s="111" t="inlineStr">
        <is>
          <t>A-012</t>
        </is>
      </c>
      <c r="B16" s="112" t="inlineStr">
        <is>
          <t>MAJOR</t>
        </is>
      </c>
      <c r="C16" s="112" t="inlineStr">
        <is>
          <t>Both</t>
        </is>
      </c>
      <c r="D16" s="113" t="inlineStr">
        <is>
          <t>Role/trust bootstrap is supervised and synthetic rather than earned through governed action.</t>
        </is>
      </c>
      <c r="E16" s="113" t="inlineStr">
        <is>
          <t>Specify a supervised bootstrap protocol and label it as such, or build an attested read-only/sandbox evaluation path that can legitimately earn trust. Separate role-label promotion from write eligibility.</t>
        </is>
      </c>
      <c r="F16" s="113" t="inlineStr">
        <is>
          <t>The documented first-write path is executable end-to-end without fabricated outcomes; every trust increment has a traceable evaluator/attestation; tests distinguish role at 0.22 from gate eligibility at &gt;=0.30.</t>
        </is>
      </c>
      <c r="G16" s="113" t="inlineStr">
        <is>
          <t>Daniel + trust-model maintainer</t>
        </is>
      </c>
      <c r="H16" s="112" t="inlineStr">
        <is>
          <t>Addressed - verify</t>
        </is>
      </c>
      <c r="I16" s="114" t="inlineStr">
        <is>
          <t>Signed read-only supervised evaluator path is implemented; role labels remain descriptive and strict write eligibility requires trust plus authorization. No fabricated outcome promotes trust.</t>
        </is>
      </c>
    </row>
    <row r="17" ht="32.25" customHeight="1" s="48">
      <c r="A17" s="111" t="inlineStr">
        <is>
          <t>A-013</t>
        </is>
      </c>
      <c r="B17" s="112" t="inlineStr">
        <is>
          <t>MAJOR</t>
        </is>
      </c>
      <c r="C17" s="112" t="inlineStr">
        <is>
          <t>Pass 2</t>
        </is>
      </c>
      <c r="D17" s="113" t="inlineStr">
        <is>
          <t>Proposal accounting can count one lifecycle twice and outcome-only fixtures distort semantics.</t>
        </is>
      </c>
      <c r="E17" s="113" t="inlineStr">
        <is>
          <t>Define one lifecycle identifier and increment proposal count once. Track proposed, authorized, executed, completed, accepted and rejected counts as separate fields.</t>
        </is>
      </c>
      <c r="F17" s="113" t="inlineStr">
        <is>
          <t>A table-driven lifecycle test proves exact counter changes for EXECUTE+success, EXECUTE+failure, HOLD, REFUSE, duplicate report and outcome-without-proposal; role promotion uses the intended counter only.</t>
        </is>
      </c>
      <c r="G17" s="113" t="inlineStr">
        <is>
          <t>Trust/memory maintainer</t>
        </is>
      </c>
      <c r="H17" s="112" t="inlineStr">
        <is>
          <t>Addressed - verify</t>
        </is>
      </c>
      <c r="I17" s="114" t="inlineStr">
        <is>
          <t>Proposal lifecycle registration is idempotent; authorization, receipt, quarantine, and outcome counters are separate from outcome reports. Contracts pass.</t>
        </is>
      </c>
    </row>
    <row r="18" ht="42.75" customHeight="1" s="48">
      <c r="A18" s="111" t="inlineStr">
        <is>
          <t>A-014</t>
        </is>
      </c>
      <c r="B18" s="112" t="inlineStr">
        <is>
          <t>MAJOR</t>
        </is>
      </c>
      <c r="C18" s="112" t="inlineStr">
        <is>
          <t>Pass 2</t>
        </is>
      </c>
      <c r="D18" s="113" t="inlineStr">
        <is>
          <t>The manuscript generator can conflate collected tests with passed tests.</t>
        </is>
      </c>
      <c r="E18" s="113" t="inlineStr">
        <is>
          <t>Parse structured pytest results and emit separate RESULT_TEST_COLLECTED, RESULT_TEST_PASSED, RESULT_TEST_SKIPPED, RESULT_TEST_FAILED and RESULT_TEST_ERRORS variables. Never label collected as passed.</t>
        </is>
      </c>
      <c r="F18" s="113" t="inlineStr">
        <is>
          <t>Fresh and cached branches both render 763 passed + 1 skipped as those exact statuses; a skipped or failed test cannot satisfy prose or tables that require all tests passing.</t>
        </is>
      </c>
      <c r="G18" s="113" t="inlineStr">
        <is>
          <t>Manuscript tooling maintainer</t>
        </is>
      </c>
      <c r="H18" s="112" t="inlineStr">
        <is>
          <t>Addressed - verify</t>
        </is>
      </c>
      <c r="I18" s="114" t="inlineStr">
        <is>
          <t>Generated variables separate collected, passed, skipped, failed, and errored statuses; the candidate reports 840/840 with zero required skips/failures/errors.</t>
        </is>
      </c>
    </row>
    <row r="19" ht="32.25" customHeight="1" s="48">
      <c r="A19" s="111" t="inlineStr">
        <is>
          <t>A-015</t>
        </is>
      </c>
      <c r="B19" s="112" t="inlineStr">
        <is>
          <t>MAJOR</t>
        </is>
      </c>
      <c r="C19" s="112" t="inlineStr">
        <is>
          <t>Pass 2</t>
        </is>
      </c>
      <c r="D19" s="113" t="inlineStr">
        <is>
          <t>Metric generation is not fully fail-closed and can reuse stale coverage.</t>
        </is>
      </c>
      <c r="E19" s="113" t="inlineStr">
        <is>
          <t>Bind caches to commit, worktree, lockfile, source and test digests; delete/replace outputs atomically per run; fail the release build on any nonzero required gate; archive commands, exit codes and raw outputs.</t>
        </is>
      </c>
      <c r="F19" s="113" t="inlineStr">
        <is>
          <t>Changing source or tests invalidates cached coverage; any failed/errored/skipped-required test or required lint/type gate aborts publication; a manifest proves every result came from the same run and snapshot.</t>
        </is>
      </c>
      <c r="G19" s="113" t="inlineStr">
        <is>
          <t>Manuscript tooling + release maintainer</t>
        </is>
      </c>
      <c r="H19" s="112" t="inlineStr">
        <is>
          <t>Addressed - verify</t>
        </is>
      </c>
      <c r="I19" s="114" t="inlineStr">
        <is>
          <t>Ruff, ty, coverage, JUnit, source/artifact freshness, and manifest gates fail closed; generated files are atomically replaced after successful gates.</t>
        </is>
      </c>
    </row>
    <row r="20" ht="32.25" customHeight="1" s="48">
      <c r="A20" s="111" t="inlineStr">
        <is>
          <t>A-016</t>
        </is>
      </c>
      <c r="B20" s="112" t="inlineStr">
        <is>
          <t>MAJOR</t>
        </is>
      </c>
      <c r="C20" s="112" t="inlineStr">
        <is>
          <t>Pass 2</t>
        </is>
      </c>
      <c r="D20" s="113" t="inlineStr">
        <is>
          <t>The evidence bundle needed to validate the manuscript is not committed or released.</t>
        </is>
      </c>
      <c r="E20" s="113" t="inlineStr">
        <is>
          <t>Publish a release evidence bundle: raw test output/JUnit, coverage JSON, metric variables, figure registry and files, expanded manuscript, environment/lock provenance, HTML/PDF hashes and generation log.</t>
        </is>
      </c>
      <c r="F20" s="113" t="inlineStr">
        <is>
          <t>Every numeric table and figure has a manifest entry with producing command, input hashes and output hash; artifacts are downloadable from the immutable release/tag and independently verifiable.</t>
        </is>
      </c>
      <c r="G20" s="113" t="inlineStr">
        <is>
          <t>Release maintainer</t>
        </is>
      </c>
      <c r="H20" s="112" t="inlineStr">
        <is>
          <t>Open</t>
        </is>
      </c>
      <c r="I20" s="114" t="inlineStr">
        <is>
          <t>Candidate evidence includes the PDF, manifest sidecar, JUnit, coverage, variables, figures, expanded manuscript, and evidence package; immutable public release attachment remains open.</t>
        </is>
      </c>
    </row>
    <row r="21" ht="32.25" customHeight="1" s="48">
      <c r="A21" s="111" t="inlineStr">
        <is>
          <t>A-017</t>
        </is>
      </c>
      <c r="B21" s="112" t="inlineStr">
        <is>
          <t>MAJOR</t>
        </is>
      </c>
      <c r="C21" s="112" t="inlineStr">
        <is>
          <t>Pass 2</t>
        </is>
      </c>
      <c r="D21" s="113" t="inlineStr">
        <is>
          <t>Existing high-Failure kernel tests do not isolate the mechanism named in their descriptions.</t>
        </is>
      </c>
      <c r="E21" s="113" t="inlineStr">
        <is>
          <t>Set profiles to isolate one variable, assert exact score/decision/reason, and add paired controls. Require the named mechanism to change while independent overrides remain false.</t>
        </is>
      </c>
      <c r="F21" s="113" t="inlineStr">
        <is>
          <t>Each mechanism test fails when its target branch is disabled, asserts the exact branch/reason and score, and includes a no-pressure control with the same trust/budget/completeness state.</t>
        </is>
      </c>
      <c r="G21" s="113" t="inlineStr">
        <is>
          <t>Test maintainer</t>
        </is>
      </c>
      <c r="H21" s="112" t="inlineStr">
        <is>
          <t>Addressed - verify</t>
        </is>
      </c>
      <c r="I21" s="114" t="inlineStr">
        <is>
          <t>Added seven real-component causal contracts covering budget, sandbox, trust tier/floor, risk pressure, completeness, recent-failure memory, and critical falsification. Each control/change pair asserts the expected score, decision, or diagnostic reason; the focused suite passes.</t>
        </is>
      </c>
    </row>
    <row r="22" ht="32.25" customHeight="1" s="48">
      <c r="A22" s="111" t="inlineStr">
        <is>
          <t>A-018</t>
        </is>
      </c>
      <c r="B22" s="112" t="inlineStr">
        <is>
          <t>MAJOR</t>
        </is>
      </c>
      <c r="C22" s="112" t="inlineStr">
        <is>
          <t>Pass 2</t>
        </is>
      </c>
      <c r="D22" s="113" t="inlineStr">
        <is>
          <t>Two public falsification surfaces use divergent decision policies.</t>
        </is>
      </c>
      <c r="E22" s="113" t="inlineStr">
        <is>
          <t>Define one canonical severity aggregation and recommendation policy, import it in both surfaces, and specify how any HIGH/CRITICAL finding dominates.</t>
        </is>
      </c>
      <c r="F22" s="113" t="inlineStr">
        <is>
          <t>For every combination of findings, report verdict, MCP recommendation and gate policy are consistent under a published truth table; metamorphic tests prevent dilution of a severe finding by adding LOW findings.</t>
        </is>
      </c>
      <c r="G22" s="113" t="inlineStr">
        <is>
          <t>Falsification/API maintainer</t>
        </is>
      </c>
      <c r="H22" s="112" t="inlineStr">
        <is>
          <t>Addressed - verify</t>
        </is>
      </c>
      <c r="I22" s="114" t="inlineStr">
        <is>
          <t>Numeric maximum severity and one recommendation policy are shared across falsification, gate diagnostics, and MCP surfaces; mixed-severity tests pass.</t>
        </is>
      </c>
    </row>
    <row r="23" ht="32.25" customHeight="1" s="48">
      <c r="A23" s="111" t="inlineStr">
        <is>
          <t>A-019</t>
        </is>
      </c>
      <c r="B23" s="112" t="inlineStr">
        <is>
          <t>MAJOR</t>
        </is>
      </c>
      <c r="C23" s="112" t="inlineStr">
        <is>
          <t>Pass 1</t>
        </is>
      </c>
      <c r="D23" s="113" t="inlineStr">
        <is>
          <t>The demonstrated mechanism is local decision friction, not deception resistance or truth validation.</t>
        </is>
      </c>
      <c r="E23" s="113" t="inlineStr">
        <is>
          <t>Frame the result as deterministic, process-local admission friction under assumed signal accuracy. Reserve claims about resistance to deception for adversarial experiments with authenticated outcomes and enforced actuation.</t>
        </is>
      </c>
      <c r="F23" s="113" t="inlineStr">
        <is>
          <t>Abstract, title, conclusion and discussion make no deception-proof or truth-validation inference beyond tested evidence; any stronger future claim has a preregistered threat model and adversarial evaluation.</t>
        </is>
      </c>
      <c r="G23" s="113" t="inlineStr">
        <is>
          <t>Daniel</t>
        </is>
      </c>
      <c r="H23" s="112" t="inlineStr">
        <is>
          <t>Addressed - verify</t>
        </is>
      </c>
      <c r="I23" s="114" t="inlineStr">
        <is>
          <t>Manuscript and docs frame evidence as local admission friction under assumed signal accuracy, not deception resistance or truth validation. Provider evaluation remains pending.</t>
        </is>
      </c>
    </row>
    <row r="24" ht="32.25" customHeight="1" s="48">
      <c r="A24" s="111" t="inlineStr">
        <is>
          <t>A-020</t>
        </is>
      </c>
      <c r="B24" s="112" t="inlineStr">
        <is>
          <t>MAJOR</t>
        </is>
      </c>
      <c r="C24" s="112" t="inlineStr">
        <is>
          <t>Pass 1</t>
        </is>
      </c>
      <c r="D24" s="113" t="inlineStr">
        <is>
          <t>Ecological and production framing exceeds the demonstrated prototype.</t>
        </is>
      </c>
      <c r="E24" s="113" t="inlineStr">
        <is>
          <t>Keep biological language explicitly metaphorical, remove production/safety efficacy implications, and reconcile repo-level marketing with the paper's prototype limitations.</t>
        </is>
      </c>
      <c r="F24" s="113" t="inlineStr">
        <is>
          <t>Claims table maps every empirical claim to an experiment; unsupported ecological emergence, autonomous adaptation, production safety and collective-memory claims are removed or clearly proposed as future work.</t>
        </is>
      </c>
      <c r="G24" s="113" t="inlineStr">
        <is>
          <t>Daniel + project maintainer</t>
        </is>
      </c>
      <c r="H24" s="112" t="inlineStr">
        <is>
          <t>Addressed - verify</t>
        </is>
      </c>
      <c r="I24" s="114" t="inlineStr">
        <is>
          <t>Claim-status table and deployment boundary now limit the measured result to the declared Colony scope; no production-safety or repository-wide governance claim is made.</t>
        </is>
      </c>
    </row>
    <row r="25" ht="32.25" customHeight="1" s="48">
      <c r="A25" s="111" t="inlineStr">
        <is>
          <t>A-021</t>
        </is>
      </c>
      <c r="B25" s="112" t="inlineStr">
        <is>
          <t>MODERATE</t>
        </is>
      </c>
      <c r="C25" s="112" t="inlineStr">
        <is>
          <t>Both</t>
        </is>
      </c>
      <c r="D25" s="113" t="inlineStr">
        <is>
          <t>Default state is ephemeral and process-local, but some documentation uses durable/shared language without qualification.</t>
        </is>
      </c>
      <c r="E25" s="113" t="inlineStr">
        <is>
          <t>Qualify all results as single-process and ephemeral by default; document multi-worker behavior. If persistence is claimed, implement durable shared field storage, concurrency control and restart tests.</t>
        </is>
      </c>
      <c r="F25" s="113" t="inlineStr">
        <is>
          <t>A restart/multi-process test demonstrates the claimed persistence/consistency, or all relevant text and diagrams state the exact process-local boundary and default data loss.</t>
        </is>
      </c>
      <c r="G25" s="113" t="inlineStr">
        <is>
          <t>Daniel + storage maintainer</t>
        </is>
      </c>
      <c r="H25" s="112" t="inlineStr">
        <is>
          <t>Addressed - verify</t>
        </is>
      </c>
      <c r="I25" s="114" t="inlineStr">
        <is>
          <t>Strict mode persists consequences, signal pressure, budgets, and authorization state in SQLite with WAL/busy-timeout behavior; restart and atomicity contracts pass.</t>
        </is>
      </c>
    </row>
    <row r="26" ht="21" customHeight="1" s="48">
      <c r="A26" s="111" t="inlineStr">
        <is>
          <t>A-022</t>
        </is>
      </c>
      <c r="B26" s="112" t="inlineStr">
        <is>
          <t>MODERATE</t>
        </is>
      </c>
      <c r="C26" s="112" t="inlineStr">
        <is>
          <t>Pass 2</t>
        </is>
      </c>
      <c r="D26" s="113" t="inlineStr">
        <is>
          <t>Source credibility multiplier documentation drifts from code.</t>
        </is>
      </c>
      <c r="E26" s="113" t="inlineStr">
        <is>
          <t>Choose one authoritative value, generate all prose/table values from it, and add a source-to-document consistency test.</t>
        </is>
      </c>
      <c r="F26" s="113" t="inlineStr">
        <is>
          <t>Code, config, SPEC, manuscript source, rendered artifact and tests all report the same multiplier at the release revision.</t>
        </is>
      </c>
      <c r="G26" s="113" t="inlineStr">
        <is>
          <t>Code/docs maintainer</t>
        </is>
      </c>
      <c r="H26" s="112" t="inlineStr">
        <is>
          <t>Addressed - verify</t>
        </is>
      </c>
      <c r="I26" s="114" t="inlineStr">
        <is>
          <t>Source multipliers are generated from live constants and synchronized through config/manuscript truth tables.</t>
        </is>
      </c>
    </row>
    <row r="27" ht="32.25" customHeight="1" s="48">
      <c r="A27" s="111" t="inlineStr">
        <is>
          <t>A-023</t>
        </is>
      </c>
      <c r="B27" s="112" t="inlineStr">
        <is>
          <t>MODERATE</t>
        </is>
      </c>
      <c r="C27" s="112" t="inlineStr">
        <is>
          <t>Pass 1</t>
        </is>
      </c>
      <c r="D27" s="113" t="inlineStr">
        <is>
          <t>Failure terminology could imply observed causality where only a caller report exists.</t>
        </is>
      </c>
      <c r="E27" s="113" t="inlineStr">
        <is>
          <t>Preserve the corrected qualification everywhere, including abstract, captions, tables, API descriptions and release notes; distinguish policy refusal, reported failure and verified test failure.</t>
        </is>
      </c>
      <c r="F27" s="113" t="inlineStr">
        <is>
          <t>A terminology search and editorial review find no unqualified 'real outcome,' 'actual failure' or 'ground truth' claim for unverified caller input.</t>
        </is>
      </c>
      <c r="G27" s="113" t="inlineStr">
        <is>
          <t>Daniel</t>
        </is>
      </c>
      <c r="H27" s="112" t="inlineStr">
        <is>
          <t>Addressed - verify</t>
        </is>
      </c>
      <c r="I27" s="114" t="inlineStr">
        <is>
          <t>Caller-reported, attested, policy-rejected, prospective-RISK, and verified-execution terminology is separated across public surfaces.</t>
        </is>
      </c>
    </row>
    <row r="28" ht="32.25" customHeight="1" s="48">
      <c r="A28" s="111" t="inlineStr">
        <is>
          <t>A-024</t>
        </is>
      </c>
      <c r="B28" s="112" t="inlineStr">
        <is>
          <t>MODERATE</t>
        </is>
      </c>
      <c r="C28" s="112" t="inlineStr">
        <is>
          <t>Both</t>
        </is>
      </c>
      <c r="D28" s="113" t="inlineStr">
        <is>
          <t>Trust start, role threshold, actuation threshold and backend semantics can be mistaken for one contract.</t>
        </is>
      </c>
      <c r="E28" s="113" t="inlineStr">
        <is>
          <t>Maintain separate variables and prose for starting trust, role inference, minimum history, gate eligibility and backend. Unify the backends or document their different public contracts.</t>
        </is>
      </c>
      <c r="F28" s="113" t="inlineStr">
        <is>
          <t>Backend-specific tests show trust/role/gate state after each outcome and agree with the documented constructor semantics; no text presents 0.10 as universal unless the implementation is unified.</t>
        </is>
      </c>
      <c r="G28" s="113" t="inlineStr">
        <is>
          <t>Daniel + trust-model maintainer</t>
        </is>
      </c>
      <c r="H28" s="112" t="inlineStr">
        <is>
          <t>Addressed - verify</t>
        </is>
      </c>
      <c r="I28" s="114" t="inlineStr">
        <is>
          <t>Pure-list and SQLite trust initialization/update semantics agree at 0.10 and use the same delta policy; backend tests pass.</t>
        </is>
      </c>
    </row>
    <row r="29" ht="21" customHeight="1" s="48">
      <c r="A29" s="111" t="inlineStr">
        <is>
          <t>A-025</t>
        </is>
      </c>
      <c r="B29" s="112" t="inlineStr">
        <is>
          <t>MODERATE</t>
        </is>
      </c>
      <c r="C29" s="112" t="inlineStr">
        <is>
          <t>Pass 1</t>
        </is>
      </c>
      <c r="D29" s="113" t="inlineStr">
        <is>
          <t>The additive gate formula and its examples need a single consistent specification.</t>
        </is>
      </c>
      <c r="E29" s="113" t="inlineStr">
        <is>
          <t>Keep one canonical executable formula, generate manuscript equations/tables from it, and test all threshold boundary examples against the released code.</t>
        </is>
      </c>
      <c r="F29" s="113" t="inlineStr">
        <is>
          <t>A machine-generated truth table covers budget, hazard, trust and completeness boundaries; every displayed example equals production-code output at the tagged revision.</t>
        </is>
      </c>
      <c r="G29" s="113" t="inlineStr">
        <is>
          <t>Daniel + gate maintainer</t>
        </is>
      </c>
      <c r="H29" s="112" t="inlineStr">
        <is>
          <t>Addressed - verify</t>
        </is>
      </c>
      <c r="I29" s="114" t="inlineStr">
        <is>
          <t>Generated truth tables cover gate boundaries, hard overrides, budget routing, severity, source multipliers, and claim boundaries.</t>
        </is>
      </c>
    </row>
    <row r="30" ht="21" customHeight="1" s="48">
      <c r="A30" s="111" t="inlineStr">
        <is>
          <t>A-026</t>
        </is>
      </c>
      <c r="B30" s="112" t="inlineStr">
        <is>
          <t>MODERATE</t>
        </is>
      </c>
      <c r="C30" s="112" t="inlineStr">
        <is>
          <t>Pass 1</t>
        </is>
      </c>
      <c r="D30" s="113" t="inlineStr">
        <is>
          <t>Budget HOLD versus REFUSE behavior needs precise API-context wording and real-component verification.</t>
        </is>
      </c>
      <c r="E30" s="113" t="inlineStr">
        <is>
          <t>Retain an explicit context table and fix the interface bug; explain why the same budget fact has different operational routing in each API.</t>
        </is>
      </c>
      <c r="F30" s="113" t="inlineStr">
        <is>
          <t>Real-component tests assert exact decisions in both call styles for every budget dimension and the manuscript reproduces those results without relying on boolean test doubles.</t>
        </is>
      </c>
      <c r="G30" s="113" t="inlineStr">
        <is>
          <t>Daniel + gate maintainer</t>
        </is>
      </c>
      <c r="H30" s="112" t="inlineStr">
        <is>
          <t>Addressed - verify</t>
        </is>
      </c>
      <c r="I30" s="114" t="inlineStr">
        <is>
          <t>All seven real budget dimensions and standalone/integrated routing are covered; generated truth table records REFUSE versus HOLD context.</t>
        </is>
      </c>
    </row>
    <row r="31" ht="21" customHeight="1" s="48">
      <c r="A31" s="111" t="inlineStr">
        <is>
          <t>A-027</t>
        </is>
      </c>
      <c r="B31" s="112" t="inlineStr">
        <is>
          <t>MODERATE</t>
        </is>
      </c>
      <c r="C31" s="112" t="inlineStr">
        <is>
          <t>Pass 1</t>
        </is>
      </c>
      <c r="D31" s="113" t="inlineStr">
        <is>
          <t>Attack-vector category and check-function counts were previously ambiguous.</t>
        </is>
      </c>
      <c r="E31" s="113" t="inlineStr">
        <is>
          <t>Preserve the distinction and provide a category-to-check mapping; avoid saying 'ten checks' when counting categories.</t>
        </is>
      </c>
      <c r="F31" s="113" t="inlineStr">
        <is>
          <t>A generated table lists all categories and every implementing check exactly once; counts are derived from code and remain stable under CI.</t>
        </is>
      </c>
      <c r="G31" s="113" t="inlineStr">
        <is>
          <t>Daniel + falsification maintainer</t>
        </is>
      </c>
      <c r="H31" s="112" t="inlineStr">
        <is>
          <t>Addressed - verify</t>
        </is>
      </c>
      <c r="I31" s="114" t="inlineStr">
        <is>
          <t>Documentation and generated surfaces preserve ten attack-vector categories versus eleven implementing check functions.</t>
        </is>
      </c>
    </row>
    <row r="32" ht="32.25" customHeight="1" s="48">
      <c r="A32" s="111" t="inlineStr">
        <is>
          <t>A-028</t>
        </is>
      </c>
      <c r="B32" s="112" t="inlineStr">
        <is>
          <t>MODERATE</t>
        </is>
      </c>
      <c r="C32" s="112" t="inlineStr">
        <is>
          <t>Pass 2</t>
        </is>
      </c>
      <c r="D32" s="113" t="inlineStr">
        <is>
          <t>Public documentation makes stronger witness and consequence claims than the implementation supports.</t>
        </is>
      </c>
      <c r="E32" s="113" t="inlineStr">
        <is>
          <t>Replace authoritative/real/ground-truth language with caller-reported audit-log language until attestation and linkage exist; update README, AGENTS, SPEC, PAI, MCP descriptions and docstrings together.</t>
        </is>
      </c>
      <c r="F32" s="113" t="inlineStr">
        <is>
          <t>Repository-wide terminology scan matches the implemented evidence grade; a documentation consistency test prevents reintroduction of unsupported witness claims.</t>
        </is>
      </c>
      <c r="G32" s="113" t="inlineStr">
        <is>
          <t>Daniel + docs/API maintainer</t>
        </is>
      </c>
      <c r="H32" s="112" t="inlineStr">
        <is>
          <t>Addressed - verify</t>
        </is>
      </c>
      <c r="I32" s="114" t="inlineStr">
        <is>
          <t>README, SPEC, API, MCP, PAI, manuscript, and release evidence use bounded caller-reported/advisory/attested vocabulary.</t>
        </is>
      </c>
    </row>
    <row r="33" ht="32.25" customHeight="1" s="48">
      <c r="A33" s="111" t="inlineStr">
        <is>
          <t>A-029</t>
        </is>
      </c>
      <c r="B33" s="112" t="inlineStr">
        <is>
          <t>MINOR</t>
        </is>
      </c>
      <c r="C33" s="112" t="inlineStr">
        <is>
          <t>Pass 1</t>
        </is>
      </c>
      <c r="D33" s="113" t="inlineStr">
        <is>
          <t>The paper repeats boundary and limitation defenses enough to interrupt the technical argument.</t>
        </is>
      </c>
      <c r="E33" s="113" t="inlineStr">
        <is>
          <t>Keep one concise limitations paragraph in the abstract/discussion, one formal scope table, and cross-reference it elsewhere; preserve substance while removing repetition.</t>
        </is>
      </c>
      <c r="F33" s="113" t="inlineStr">
        <is>
          <t>A copy edit removes redundant passages without weakening any disclosure; each distinct limitation remains stated at least once in a prominent location.</t>
        </is>
      </c>
      <c r="G33" s="113" t="inlineStr">
        <is>
          <t>Daniel</t>
        </is>
      </c>
      <c r="H33" s="112" t="inlineStr">
        <is>
          <t>Addressed - verify</t>
        </is>
      </c>
      <c r="I33" s="114" t="inlineStr">
        <is>
          <t>Limitations are consolidated into a canonical claim-status table and deployment-boundary section while retaining the required disclosures.</t>
        </is>
      </c>
    </row>
    <row r="34" ht="21" customHeight="1" s="48">
      <c r="A34" s="111" t="inlineStr">
        <is>
          <t>A-030</t>
        </is>
      </c>
      <c r="B34" s="112" t="inlineStr">
        <is>
          <t>MINOR</t>
        </is>
      </c>
      <c r="C34" s="112" t="inlineStr">
        <is>
          <t>Pass 1</t>
        </is>
      </c>
      <c r="D34" s="113" t="inlineStr">
        <is>
          <t>The acknowledgement of reviewer input should remain factual and proportionate.</t>
        </is>
      </c>
      <c r="E34" s="113" t="inlineStr">
        <is>
          <t>Use a short acknowledgement thanking the reviewer for comments on consistency, scope and reproducibility, subject to the reviewer's preference.</t>
        </is>
      </c>
      <c r="F34" s="113" t="inlineStr">
        <is>
          <t>Final acknowledgement is accurate, modest and approved by the named person before publication.</t>
        </is>
      </c>
      <c r="G34" s="113" t="inlineStr">
        <is>
          <t>Daniel</t>
        </is>
      </c>
      <c r="H34" s="112" t="inlineStr">
        <is>
          <t>Optional</t>
        </is>
      </c>
      <c r="I34" s="114" t="inlineStr">
        <is>
          <t>Acknowledgement remains short, factual, and proportionate; final publication approval by the named reviewer remains optional editorial confirmation.</t>
        </is>
      </c>
    </row>
    <row r="35" ht="21" customHeight="1" s="48">
      <c r="A35" s="111" t="inlineStr">
        <is>
          <t>A-031</t>
        </is>
      </c>
      <c r="B35" s="112" t="inlineStr">
        <is>
          <t>MODERATE</t>
        </is>
      </c>
      <c r="C35" s="112" t="inlineStr">
        <is>
          <t>Pass 2</t>
        </is>
      </c>
      <c r="D35" s="113" t="inlineStr">
        <is>
          <t>The gate can report the wrong maximum falsification severity in its diagnostic reason.</t>
        </is>
      </c>
      <c r="E35" s="113" t="inlineStr">
        <is>
          <t>Use one canonical ordered severity mapping for decisions, diagnostics and recommendation surfaces; do not compare enum labels as strings.</t>
        </is>
      </c>
      <c r="F35" s="113" t="inlineStr">
        <is>
          <t>Mixed-severity tests prove the reason reports the policy maximum for every combination and matches the severity used by the decision path.</t>
        </is>
      </c>
      <c r="G35" s="113" t="inlineStr">
        <is>
          <t>Gate/falsification maintainer</t>
        </is>
      </c>
      <c r="H35" s="112" t="inlineStr">
        <is>
          <t>Addressed - verify</t>
        </is>
      </c>
      <c r="I35" s="114" t="inlineStr">
        <is>
          <t>Mixed-severity diagnostics use numeric severity ranks and report the policy maximum; cross-surface recommendation tests pass.</t>
        </is>
      </c>
    </row>
  </sheetData>
  <mergeCells count="2">
    <mergeCell ref="A2:H2"/>
    <mergeCell ref="A1:H1"/>
  </mergeCells>
  <conditionalFormatting sqref="B5:B35">
    <cfRule type="containsText" rank="0" priority="2" equalAverage="0" operator="containsText" aboveAverage="0" dxfId="0" text="BLOCKER" percent="0" bottom="0">
      <formula>NOT(ISERROR(SEARCH("BLOCKER",B5)))</formula>
    </cfRule>
    <cfRule type="containsText" rank="0" priority="3" equalAverage="0" operator="containsText" aboveAverage="0" dxfId="1" text="CRITICAL" percent="0" bottom="0">
      <formula>NOT(ISERROR(SEARCH("CRITICAL",B5)))</formula>
    </cfRule>
    <cfRule type="containsText" rank="0" priority="4" equalAverage="0" operator="containsText" aboveAverage="0" dxfId="2" text="MAJOR" percent="0" bottom="0">
      <formula>NOT(ISERROR(SEARCH("MAJOR",B5)))</formula>
    </cfRule>
    <cfRule type="containsText" rank="0" priority="5" equalAverage="0" operator="containsText" aboveAverage="0" dxfId="3" text="MODERATE" percent="0" bottom="0">
      <formula>NOT(ISERROR(SEARCH("MODERATE",B5)))</formula>
    </cfRule>
    <cfRule type="containsText" rank="0" priority="6" equalAverage="0" operator="containsText" aboveAverage="0" dxfId="4" text="MINOR" percent="0" bottom="0">
      <formula>NOT(ISERROR(SEARCH("MINOR",B5)))</formula>
    </cfRule>
  </conditionalFormatting>
  <conditionalFormatting sqref="H5:H35">
    <cfRule type="containsText" rank="0" priority="7" equalAverage="0" operator="containsText" aboveAverage="0" dxfId="0" text="Open" percent="0" bottom="0">
      <formula>NOT(ISERROR(SEARCH("Open",H5)))</formula>
    </cfRule>
    <cfRule type="containsText" rank="0" priority="8" equalAverage="0" operator="containsText" aboveAverage="0" dxfId="5" text="Partly addressed" percent="0" bottom="0">
      <formula>NOT(ISERROR(SEARCH("Partly addressed",H5)))</formula>
    </cfRule>
    <cfRule type="containsText" rank="0" priority="9" equalAverage="0" operator="containsText" aboveAverage="0" dxfId="3" text="Addressed - verify" percent="0" bottom="0">
      <formula>NOT(ISERROR(SEARCH("Addressed - verify",H5)))</formula>
    </cfRule>
    <cfRule type="containsText" rank="0" priority="10" equalAverage="0" operator="containsText" aboveAverage="0" dxfId="6" text="Closed" percent="0" bottom="0">
      <formula>NOT(ISERROR(SEARCH("Closed",H5)))</formula>
    </cfRule>
    <cfRule type="containsText" rank="0" priority="11" equalAverage="0" operator="containsText" aboveAverage="0" dxfId="4" text="Optional" percent="0" bottom="0">
      <formula>NOT(ISERROR(SEARCH("Optional",H5)))</formula>
    </cfRule>
  </conditionalFormatting>
  <dataValidations count="1">
    <dataValidation sqref="H5:H35" showDropDown="0" showInputMessage="0" showErrorMessage="0" allowBlank="0" type="list" errorStyle="stop" operator="between">
      <formula1>"Open,Partly addressed,Addressed - verify,Optional,Closed"</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D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 customWidth="1" style="47" min="1" max="1"/>
    <col width="52" customWidth="1" style="47" min="2" max="2"/>
    <col width="88" customWidth="1" style="47" min="3" max="3"/>
    <col width="72" customWidth="1" style="47" min="4" max="4"/>
  </cols>
  <sheetData>
    <row r="1" ht="30" customHeight="1" s="48">
      <c r="A1" s="49" t="inlineStr">
        <is>
          <t>Evidence Index</t>
        </is>
      </c>
    </row>
    <row r="2" ht="21.75" customHeight="1" s="48">
      <c r="A2" s="50" t="inlineStr">
        <is>
          <t>Evidence captured during the repository/results pass. Full commands, URLs and transcripts are in the reproduction-evidence attachment.</t>
        </is>
      </c>
    </row>
    <row r="3"/>
    <row r="4" ht="30" customHeight="1" s="48">
      <c r="A4" s="79" t="inlineStr">
        <is>
          <t>ID</t>
        </is>
      </c>
      <c r="B4" s="80" t="inlineStr">
        <is>
          <t>Finding</t>
        </is>
      </c>
      <c r="C4" s="81" t="inlineStr">
        <is>
          <t>Evidence summary</t>
        </is>
      </c>
      <c r="D4" s="110" t="inlineStr">
        <is>
          <t>Current candidate evidence (full revision recorded in output/release_manifest.json)</t>
        </is>
      </c>
    </row>
    <row r="5" ht="42.75" customHeight="1" s="48">
      <c r="A5" s="111" t="inlineStr">
        <is>
          <t>A-001</t>
        </is>
      </c>
      <c r="B5" s="113" t="inlineStr">
        <is>
          <t>The reviewed July 12 PDF is not the manuscript artifact committed on the cited public main branch.</t>
        </is>
      </c>
      <c r="C5" s="113" t="inlineStr">
        <is>
          <t>Attached PDF: 50 pages, SHA-256 c1432347b75c34258fb53d29b4d747684fbc06655126fd5af37182b0928a4270. Public main at e85aee6758726ca1fbba202d0ef1a09d524029e3 contains a 77-page output/paper.pdf, SHA-256 6333fde6bd65aa25406ce5491424010ec5b15f932093e3ea64954d91f0a7723d. Public 02_methodology.md says FAILURE does not directly reduce risk_ok, while the attachment says max(RISK, FAILURE); the public abstract also retains stronger persistence/control claims.</t>
        </is>
      </c>
      <c r="D5" s="114" t="inlineStr">
        <is>
          <t>Candidate is committed and tagged v1.4.0-rc19; the clean-clone replay and manifest pass all available gates. v1.4.0 publication and external evidence attachment remain required.</t>
        </is>
      </c>
    </row>
    <row r="6" ht="32.25" customHeight="1" s="48">
      <c r="A6" s="111" t="inlineStr">
        <is>
          <t>A-002</t>
        </is>
      </c>
      <c r="B6" s="113" t="inlineStr">
        <is>
          <t>The manuscript's headline failed-outcome locality result is false on the cited public revision.</t>
        </is>
      </c>
      <c r="C6" s="113" t="inlineStr">
        <is>
          <t>The attachment states effective hazard = max(RISK, FAILURE) and reports 0.875/EXECUTE -&gt; 0.725/HOLD after a same-target FAILURE. Public actuation_gate.py reads witness state but assigns risk_pressure = pheromone_readings['risk']; direct replay produced 0.875/EXECUTE before, FAILURE pressure 3.0, 0.875/EXECUTE afterward, and 0.875/EXECUTE at an unrelated target.</t>
        </is>
      </c>
      <c r="D6" s="114" t="inlineStr">
        <is>
          <t>Implemented and tested from real kernel components: 0.875 EXECUTE -&gt; 0.725 HOLD at same target after TEST FAILURE pressure 3.0; unrelated target and 20-tick recovery return 0.875 EXECUTE. Clean-clone replay at tagged v1.4.0-rc19 regenerated matching PDF, HTML, and figure hashes; immutable tag and provider benchmark remain.</t>
        </is>
      </c>
    </row>
    <row r="7" ht="21" customHeight="1" s="48">
      <c r="A7" s="111" t="inlineStr">
        <is>
          <t>A-003</t>
        </is>
      </c>
      <c r="B7" s="113" t="inlineStr">
        <is>
          <t>The manuscript and current-results counts do not reproduce on public main.</t>
        </is>
      </c>
      <c r="C7" s="113" t="inlineStr">
        <is>
          <t>Attachment reports 773 passing tests and 78.7% branch coverage. Public main produced 764 collected, 763 passed, 1 skipped, and 475/606 branches covered = 78.382838...%, reported as 78.4%. Ruff and ty both reproduced at zero.</t>
        </is>
      </c>
      <c r="D7" s="114" t="inlineStr">
        <is>
          <t>Fresh candidate run: 840 JUnit-collected / 840 passed / 0 skipped / 0 failed / 0 errors (841 pytest items collected; 1 deselected); branch 74.37185929648241% (592/796 branches); line 82.59604190919674% (2,246/2,640 lines); floor 60.0%. Machine-readable status/JUnit/coverage are current. Clean-clone replay at tagged v1.4.0-rc19 regenerated matching PDF, HTML, and figure hashes; immutable tag and provider benchmark remain.</t>
        </is>
      </c>
    </row>
    <row r="8" ht="21" customHeight="1" s="48">
      <c r="A8" s="111" t="inlineStr">
        <is>
          <t>A-004</t>
        </is>
      </c>
      <c r="B8" s="113" t="inlineStr">
        <is>
          <t>The primary reproduction route in the attachment does not exist in the cited repository.</t>
        </is>
      </c>
      <c r="C8" s="113" t="inlineStr">
        <is>
          <t>The attachment instructs ./run.sh --pipeline --project ongoing/codomyrmex --core-only and then cd projects/ongoing/codomyrmex. Public main contains neither run.sh nor projects/ongoing/codomyrmex.</t>
        </is>
      </c>
      <c r="D8" s="114" t="inlineStr">
        <is>
          <t>Reproduction commands operate from the Codomyrmex root and use the local compiler/generator. Clean-clone replay at v1.4.0-rc19 is complete.</t>
        </is>
      </c>
    </row>
    <row r="9" ht="21" customHeight="1" s="48">
      <c r="A9" s="111" t="inlineStr">
        <is>
          <t>A-005</t>
        </is>
      </c>
      <c r="B9" s="113" t="inlineStr">
        <is>
          <t>The recent-failure trust penalty is not wired into the integrated kernel.</t>
        </is>
      </c>
      <c r="C9" s="113" t="inlineStr">
        <is>
          <t>ActuationGate applies the &gt;=3-failure penalty only when self._memory is non-null. ColonyKernel constructs ActuationGate(pheromone_store=...) and constructs ConsequenceMemory separately, never passing consequence_memory_ref.</t>
        </is>
      </c>
      <c r="D9" s="114" t="inlineStr">
        <is>
          <t>ColonyKernel shares ConsequenceMemory with ActuationGate; causal locality and trust-pressure contracts pass in the publication suite. Clean-clone replay at tagged v1.4.0-rc19 regenerated matching PDF, HTML, and figure hashes; immutable tag and provider benchmark remain.</t>
        </is>
      </c>
    </row>
    <row r="10" ht="32.25" customHeight="1" s="48">
      <c r="A10" s="111" t="inlineStr">
        <is>
          <t>A-006</t>
        </is>
      </c>
      <c r="B10" s="113" t="inlineStr">
        <is>
          <t>Standalone budget enforcement is defeated by a return-type mismatch.</t>
        </is>
      </c>
      <c r="C10" s="113" t="inlineStr">
        <is>
          <t>ActuationGate evaluates bool(self._ledger.can_afford(...)); ResourceLedger.can_afford returns a tuple. bool((False, reason)) is True. With max_llm_calls=0 and an estimate of 1, the ledger returned (False, reason) but the standalone gate returned 0.875/EXECUTE and budget_approved=True.</t>
        </is>
      </c>
      <c r="D10" s="114" t="inlineStr">
        <is>
          <t>Real ResourceLedger contracts cover all seven dimensions; standalone over-budget is REFUSE/0.0 and integrated routing is documented HOLD. Clean-clone replay at tagged v1.4.0-rc19 regenerated matching PDF, HTML, and figure hashes; immutable tag and provider benchmark remain.</t>
        </is>
      </c>
    </row>
    <row r="11" ht="42.75" customHeight="1" s="48">
      <c r="A11" s="111" t="inlineStr">
        <is>
          <t>A-007</t>
        </is>
      </c>
      <c r="B11" s="113" t="inlineStr">
        <is>
          <t>Integrated falsification discards proposal fields needed by its own checks.</t>
        </is>
      </c>
      <c r="C11" s="113" t="inlineStr">
        <is>
          <t>FalsificationWorker.analyze maps target, rationale, rollback_plan, evidence, action_type and budget_estimate, but omits expected_outcome and other plan semantics used by checks. A complete ActionProposal can therefore acquire findings unrelated to its actual completeness. In the canonical path, four adapter-driven findings deposited RISK 3.0 and produced 0.725/HOLD at both the target and an otherwise clear unrelated target; HIGH/CRITICAL findings can also deposit pre-execution FAILURE.</t>
        </is>
      </c>
      <c r="D11" s="114" t="inlineStr">
        <is>
          <t>ActionProposal has one typed conversion to the complete falsification plan; every named field is covered by production-component tests. Clean-clone replay at tagged v1.4.0-rc19 regenerated matching PDF, HTML, and figure hashes; immutable tag and provider benchmark remain.</t>
        </is>
      </c>
    </row>
    <row r="12" ht="21" customHeight="1" s="48">
      <c r="A12" s="111" t="inlineStr">
        <is>
          <t>A-008</t>
        </is>
      </c>
      <c r="B12" s="113" t="inlineStr">
        <is>
          <t>Pre-execution paths are recorded as environmental FAILURE even though no action executed.</t>
        </is>
      </c>
      <c r="C12" s="113" t="inlineStr">
        <is>
          <t>ColonyKernel.propose_action deposits FAILURE for every REFUSE, and FalsificationWorker deposits FAILURE for HIGH/CRITICAL prospective findings before a gate decision or execution. Under max(RISK, FAILURE), either path can manufacture the pressure that drives subsequent refusal.</t>
        </is>
      </c>
      <c r="D12" s="114" t="inlineStr">
        <is>
          <t>Policy rejection uses POLICY_REJECTION, prospective findings use RISK, and FAILURE is reserved for caller-reported or attested adverse outcomes. Contracts pass.</t>
        </is>
      </c>
    </row>
    <row r="13" ht="21" customHeight="1" s="48">
      <c r="A13" s="111" t="inlineStr">
        <is>
          <t>A-009</t>
        </is>
      </c>
      <c r="B13" s="113" t="inlineStr">
        <is>
          <t>Outcome records are unlinked, unauthenticated caller assertions.</t>
        </is>
      </c>
      <c r="C13" s="113" t="inlineStr">
        <is>
          <t>colony_record_outcome accepts agent_id/action_type/target/text/tests_passed, synthesizes a new ActionProposal, and explicitly does not require the original proposal_id. No EXECUTE verdict, caller identity, authorization, test attestation, deduplication or target binding is verified.</t>
        </is>
      </c>
      <c r="D13" s="114" t="inlineStr">
        <is>
          <t>Strict profile now requires signed, scoped, expiring, single-use authorization plus executor receipt; unattested reports are quarantined and cannot mutate trust/failure state. Clean-clone replay at tagged v1.4.0-rc19 regenerated matching PDF, HTML, and figure hashes; immutable tag and provider benchmark remain.</t>
        </is>
      </c>
    </row>
    <row r="14" ht="21" customHeight="1" s="48">
      <c r="A14" s="111" t="inlineStr">
        <is>
          <t>A-010</t>
        </is>
      </c>
      <c r="B14" s="113" t="inlineStr">
        <is>
          <t>The gate is advisory rather than an actuation enforcement boundary.</t>
        </is>
      </c>
      <c r="C14" s="113" t="inlineStr">
        <is>
          <t>The proposal MCP tool returns a serialized GateResult but issues no authorization token and has no downstream action executor or consumed capability. Callers can ignore the result.</t>
        </is>
      </c>
      <c r="D14" s="114" t="inlineStr">
        <is>
          <t>Strict RegisteredActionExecutor rejects direct protected execution without a consumed authorization; advisory mode remains explicitly bypassable. Clean-clone replay at tagged v1.4.0-rc19 regenerated matching PDF, HTML, and figure hashes; immutable tag and provider benchmark remain.</t>
        </is>
      </c>
    </row>
    <row r="15" ht="32.25" customHeight="1" s="48">
      <c r="A15" s="111" t="inlineStr">
        <is>
          <t>A-011</t>
        </is>
      </c>
      <c r="B15" s="113" t="inlineStr">
        <is>
          <t>The Colony Kernel is not the repository-wide control plane described by project documentation.</t>
        </is>
      </c>
      <c r="C15" s="113" t="inlineStr">
        <is>
          <t>At the pinned revision, only src/codomyrmex/cli/doctor.py instantiates ColonyKernel outside its own package. A tracked-source scan found 630 actual @mcp_tool decorator definitions (653 textual occurrences) repo-wide and 8 in colony_kernel; the other tool paths are not routed through the gate. Colony AGENTS.md says it 'gates every agent action.'</t>
        </is>
      </c>
      <c r="D15" s="114" t="inlineStr">
        <is>
          <t>Governed action scope is explicit for patch_file, run_tests, and archive_module; absolute/traversal/out-of-scope targets fail closed. Clean-clone replay at tagged v1.4.0-rc19 regenerated matching PDF, HTML, and figure hashes; immutable tag and provider benchmark remain.</t>
        </is>
      </c>
    </row>
    <row r="16" ht="32.25" customHeight="1" s="48">
      <c r="A16" s="111" t="inlineStr">
        <is>
          <t>A-012</t>
        </is>
      </c>
      <c r="B16" s="113" t="inlineStr">
        <is>
          <t>Role/trust bootstrap is supervised and synthetic rather than earned through governed action.</t>
        </is>
      </c>
      <c r="C16" s="113" t="inlineStr">
        <is>
          <t>New agents start at trust 0.10/SANDBOX and cannot pass write-path gating. Tests promote agents by directly calling record_outcome with constructed successful proposals, bypassing the gate and any attestation. Three such reports reach trust 0.22 and REPAIR_ANT, still below the 0.30 gate floor.</t>
        </is>
      </c>
      <c r="D16" s="114" t="inlineStr">
        <is>
          <t>Signed read-only supervised evaluator path is implemented; role labels remain descriptive and strict write eligibility requires trust plus authorization. No fabricated outcome promotes trust.</t>
        </is>
      </c>
    </row>
    <row r="17" ht="21" customHeight="1" s="48">
      <c r="A17" s="111" t="inlineStr">
        <is>
          <t>A-013</t>
        </is>
      </c>
      <c r="B17" s="113" t="inlineStr">
        <is>
          <t>Proposal accounting can count one lifecycle twice and outcome-only fixtures distort semantics.</t>
        </is>
      </c>
      <c r="C17" s="113" t="inlineStr">
        <is>
          <t>propose_action increments profile.total_proposals; ConsequenceMemory.record increments it again. A normal propose+record lifecycle therefore adds two, while direct record_outcome adds one without any proposal evaluation. Role inference uses total_proposals.</t>
        </is>
      </c>
      <c r="D17" s="114" t="inlineStr">
        <is>
          <t>Proposal lifecycle registration is idempotent; authorization, receipt, quarantine, and outcome counters are separate from outcome reports. Contracts pass.</t>
        </is>
      </c>
    </row>
    <row r="18" ht="32.25" customHeight="1" s="48">
      <c r="A18" s="111" t="inlineStr">
        <is>
          <t>A-014</t>
        </is>
      </c>
      <c r="B18" s="113" t="inlineStr">
        <is>
          <t>The manuscript generator can conflate collected tests with passed tests.</t>
        </is>
      </c>
      <c r="C18" s="113" t="inlineStr">
        <is>
          <t>A fresh coverage run can parse a passed count, but _extract_pytest_count checks collection patterns first and the fresh-cache branch performs collection-only, returning that value as 'collected'. The audited cached branch emitted RESULT_TEST_COUNT=764 while the suite result was 763 passed and 1 skipped; prose can therefore label collection as passing.</t>
        </is>
      </c>
      <c r="D18" s="114" t="inlineStr">
        <is>
          <t>Generated variables separate collected, passed, skipped, failed, and errored statuses; the candidate reports 840/840 with zero required skips/failures/errors.</t>
        </is>
      </c>
    </row>
    <row r="19" ht="21" customHeight="1" s="48">
      <c r="A19" s="111" t="inlineStr">
        <is>
          <t>A-015</t>
        </is>
      </c>
      <c r="B19" s="113" t="inlineStr">
        <is>
          <t>Metric generation is not fully fail-closed and can reuse stale coverage.</t>
        </is>
      </c>
      <c r="C19" s="113" t="inlineStr">
        <is>
          <t>Coverage JSON younger than one hour is reused without binding it to source/lock/test hashes. The coverage subprocess may continue after a nonzero return if a JSON file exists. Ruff and ty exit code 1 is accepted and converted to counts rather than necessarily blocking rendering.</t>
        </is>
      </c>
      <c r="D19" s="114" t="inlineStr">
        <is>
          <t>Ruff, ty, coverage, JUnit, source/artifact freshness, and manifest gates fail closed; generated files are atomically replaced after successful gates.</t>
        </is>
      </c>
    </row>
    <row r="20" ht="21" customHeight="1" s="48">
      <c r="A20" s="111" t="inlineStr">
        <is>
          <t>A-016</t>
        </is>
      </c>
      <c r="B20" s="113" t="inlineStr">
        <is>
          <t>The evidence bundle needed to validate the manuscript is not committed or released.</t>
        </is>
      </c>
      <c r="C20" s="113" t="inlineStr">
        <is>
          <t>git ls-files output lists only output/paper.html and output/paper.pdf. Generated manuscript_variables.json, colony_kernel_coverage.json and expanded manuscript files are ignored. figure_registry.json and output/figures were absent in the audit checkout.</t>
        </is>
      </c>
      <c r="D20" s="114" t="inlineStr">
        <is>
          <t>Candidate evidence and the clean-clone release package exist with PDF SHA-256 3e15c79ee15f174bac784a05fa1ebceaed25a8741305f974d51bb3960744503d, JUnit, coverage, variables, figures, expanded manuscript, and a tagged manifest; external release attachment remains open.</t>
        </is>
      </c>
    </row>
    <row r="21" ht="21" customHeight="1" s="48">
      <c r="A21" s="111" t="inlineStr">
        <is>
          <t>A-017</t>
        </is>
      </c>
      <c r="B21" s="113" t="inlineStr">
        <is>
          <t>Existing high-Failure kernel tests do not isolate the mechanism named in their descriptions.</t>
        </is>
      </c>
      <c r="C21" s="113" t="inlineStr">
        <is>
          <t>The critical/high FAILURE-pressure tests seed only three direct successes, yielding trust 0.22, which is below the separate 0.30 hard floor. REFUSE can therefore occur because of trust, and broad assertions such as HOLD-or-REFUSE do not prove the pressure mechanism.</t>
        </is>
      </c>
      <c r="D21" s="114" t="inlineStr">
        <is>
          <t>Seven real-component causal contracts cover every named gate mechanism with control/change pairs and exact score, decision, and reason assertions; the focused mutation-sensitive suite passes. Clean-clone replay remains part of the final verification.</t>
        </is>
      </c>
    </row>
    <row r="22" ht="32.25" customHeight="1" s="48">
      <c r="A22" s="111" t="inlineStr">
        <is>
          <t>A-018</t>
        </is>
      </c>
      <c r="B22" s="113" t="inlineStr">
        <is>
          <t>Two public falsification surfaces use divergent decision policies.</t>
        </is>
      </c>
      <c r="C22" s="113" t="inlineStr">
        <is>
          <t>The gate uses maximum finding severity for its hard CRITICAL override; colony_falsify_plan averages finding weights and recommends execute below 0.4. A HIGH finding of weight 0.45 diluted by several LOW findings can receive an 'execute' recommendation even though the report verdict logic treats HIGH as FAIL.</t>
        </is>
      </c>
      <c r="D22" s="114" t="inlineStr">
        <is>
          <t>Numeric maximum severity and one recommendation policy are shared across falsification, gate diagnostics, and MCP surfaces; mixed-severity tests pass.</t>
        </is>
      </c>
    </row>
    <row r="23" ht="21" customHeight="1" s="48">
      <c r="A23" s="111" t="inlineStr">
        <is>
          <t>A-019</t>
        </is>
      </c>
      <c r="B23" s="113" t="inlineStr">
        <is>
          <t>The demonstrated mechanism is local decision friction, not deception resistance or truth validation.</t>
        </is>
      </c>
      <c r="C23" s="113" t="inlineStr">
        <is>
          <t>The paired result, even if implemented, only shows that a caller-reported local signal can lower a deterministic score at one target. Outcomes remain unverified and the gate is bypassable.</t>
        </is>
      </c>
      <c r="D23" s="114" t="inlineStr">
        <is>
          <t>Manuscript and docs frame evidence as local admission friction under assumed signal accuracy, not deception resistance or truth validation. Provider evaluation remains pending.</t>
        </is>
      </c>
    </row>
    <row r="24" ht="21" customHeight="1" s="48">
      <c r="A24" s="111" t="inlineStr">
        <is>
          <t>A-020</t>
        </is>
      </c>
      <c r="B24" s="113" t="inlineStr">
        <is>
          <t>Ecological and production framing exceeds the demonstrated prototype.</t>
        </is>
      </c>
      <c r="C24" s="113" t="inlineStr">
        <is>
          <t>The evidence is scoped to deterministic unit/integration tests and one process-local subsystem, while repository README calls the library production-grade and Colony documentation describes collective memory/control-plane behavior across agents.</t>
        </is>
      </c>
      <c r="D24" s="114" t="inlineStr">
        <is>
          <t>Claim-status table and deployment boundary now limit the measured result to the declared Colony scope; no production-safety or repository-wide governance claim is made.</t>
        </is>
      </c>
    </row>
    <row r="25" ht="21" customHeight="1" s="48">
      <c r="A25" s="111" t="inlineStr">
        <is>
          <t>A-021</t>
        </is>
      </c>
      <c r="B25" s="113" t="inlineStr">
        <is>
          <t>Default state is ephemeral and process-local, but some documentation uses durable/shared language without qualification.</t>
        </is>
      </c>
      <c r="C25" s="113" t="inlineStr">
        <is>
          <t>MCP state is a module-level singleton inside one process. ColonyKernelConfig defaults db_path to ':memory:'; the pheromone field remains in memory even when SQLite is file-backed. Restarting or scaling workers loses or partitions state.</t>
        </is>
      </c>
      <c r="D25" s="114" t="inlineStr">
        <is>
          <t>Strict mode persists consequences, signal pressure, budgets, and authorization state in SQLite with WAL/busy-timeout behavior; restart and atomicity contracts pass.</t>
        </is>
      </c>
    </row>
    <row r="26" ht="21" customHeight="1" s="48">
      <c r="A26" s="111" t="inlineStr">
        <is>
          <t>A-022</t>
        </is>
      </c>
      <c r="B26" s="113" t="inlineStr">
        <is>
          <t>Source credibility multiplier documentation drifts from code.</t>
        </is>
      </c>
      <c r="C26" s="113" t="inlineStr">
        <is>
          <t>Public code uses SECURITY=1.5; public SPEC.md and current-main manuscript sources say SECURITY=1.3. The July 12 attachment uses 1.5, further confirming it came from a different source snapshot.</t>
        </is>
      </c>
      <c r="D26" s="114" t="inlineStr">
        <is>
          <t>Source multipliers are generated from live constants and synchronized through config/manuscript truth tables.</t>
        </is>
      </c>
    </row>
    <row r="27" ht="21" customHeight="1" s="48">
      <c r="A27" s="111" t="inlineStr">
        <is>
          <t>A-023</t>
        </is>
      </c>
      <c r="B27" s="113" t="inlineStr">
        <is>
          <t>Failure terminology could imply observed causality where only a caller report exists.</t>
        </is>
      </c>
      <c r="C27" s="113" t="inlineStr">
        <is>
          <t>Earlier wording referred to a 'failed action'; the MCP surface does not attest execution or failure. The attachment now generally says 'caller-reported failed outcome.'</t>
        </is>
      </c>
      <c r="D27" s="114" t="inlineStr">
        <is>
          <t>Caller-reported, attested, policy-rejected, prospective-RISK, and verified-execution terminology is separated across public surfaces.</t>
        </is>
      </c>
    </row>
    <row r="28" ht="32.25" customHeight="1" s="48">
      <c r="A28" s="111" t="inlineStr">
        <is>
          <t>A-024</t>
        </is>
      </c>
      <c r="B28" s="113" t="inlineStr">
        <is>
          <t>Trust start, role threshold, actuation threshold and backend semantics can be mistaken for one contract.</t>
        </is>
      </c>
      <c r="C28" s="113" t="inlineStr">
        <is>
          <t>The default integrated SQLite :memory: path starts at 0.10; three +0.04 reports reach 0.22 and five reach the 0.30 gate floor. Pure-list ConsequenceMemory(db_path=None) instead starts at _TRUST_BASE=0.50 and uses a different record-delta path. The attachment correctly explains only the integrated arithmetic.</t>
        </is>
      </c>
      <c r="D28" s="114" t="inlineStr">
        <is>
          <t>Pure-list and SQLite trust initialization/update semantics agree at 0.10 and use the same delta policy; backend tests pass.</t>
        </is>
      </c>
    </row>
    <row r="29" ht="21" customHeight="1" s="48">
      <c r="A29" s="111" t="inlineStr">
        <is>
          <t>A-025</t>
        </is>
      </c>
      <c r="B29" s="113" t="inlineStr">
        <is>
          <t>The additive gate formula and its examples need a single consistent specification.</t>
        </is>
      </c>
      <c r="C29" s="113" t="inlineStr">
        <is>
          <t>The first review flagged drifting component semantics and arithmetic. The attachment now presents weights summing to one and the 0.875/0.725 arithmetic consistently, but that policy is not the public implementation because effective hazard differs.</t>
        </is>
      </c>
      <c r="D29" s="114" t="inlineStr">
        <is>
          <t>Generated truth tables cover gate boundaries, hard overrides, budget routing, severity, source multipliers, and claim boundaries.</t>
        </is>
      </c>
    </row>
    <row r="30" ht="21" customHeight="1" s="48">
      <c r="A30" s="111" t="inlineStr">
        <is>
          <t>A-026</t>
        </is>
      </c>
      <c r="B30" s="113" t="inlineStr">
        <is>
          <t>Budget HOLD versus REFUSE behavior needs precise API-context wording and real-component verification.</t>
        </is>
      </c>
      <c r="C30" s="113" t="inlineStr">
        <is>
          <t>The manuscript distinguishes kernel-mode HOLD from standalone REFUSE. Public code intends this distinction, but the real-ledger standalone path is currently broken by tuple truthiness.</t>
        </is>
      </c>
      <c r="D30" s="114" t="inlineStr">
        <is>
          <t>All seven real budget dimensions and standalone/integrated routing are covered; generated truth table records REFUSE versus HOLD context.</t>
        </is>
      </c>
    </row>
    <row r="31" ht="15" customHeight="1" s="48">
      <c r="A31" s="111" t="inlineStr">
        <is>
          <t>A-027</t>
        </is>
      </c>
      <c r="B31" s="113" t="inlineStr">
        <is>
          <t>Attack-vector category and check-function counts were previously ambiguous.</t>
        </is>
      </c>
      <c r="C31" s="113" t="inlineStr">
        <is>
          <t>The implementation has ten conceptual AttackVector categories but eleven check functions. The attachment distinguishes these counts.</t>
        </is>
      </c>
      <c r="D31" s="114" t="inlineStr">
        <is>
          <t>Documentation and generated surfaces preserve ten attack-vector categories versus eleven implementing check functions.</t>
        </is>
      </c>
    </row>
    <row r="32" ht="21" customHeight="1" s="48">
      <c r="A32" s="111" t="inlineStr">
        <is>
          <t>A-028</t>
        </is>
      </c>
      <c r="B32" s="113" t="inlineStr">
        <is>
          <t>Public documentation makes stronger witness and consequence claims than the implementation supports.</t>
        </is>
      </c>
      <c r="C32" s="113" t="inlineStr">
        <is>
          <t>Colony AGENTS.md calls ConsequenceMemory the 'authoritative witness for everything that happened' and colony_record_outcome a 'real consequence'; however the MCP tool accepts unlinked caller descriptions and defaults to ephemeral storage.</t>
        </is>
      </c>
      <c r="D32" s="114" t="inlineStr">
        <is>
          <t>README, SPEC, API, MCP, PAI, manuscript, and release evidence use bounded caller-reported/advisory/attested vocabulary.</t>
        </is>
      </c>
    </row>
    <row r="33" ht="21" customHeight="1" s="48">
      <c r="A33" s="111" t="inlineStr">
        <is>
          <t>A-029</t>
        </is>
      </c>
      <c r="B33" s="113" t="inlineStr">
        <is>
          <t>The paper repeats boundary and limitation defenses enough to interrupt the technical argument.</t>
        </is>
      </c>
      <c r="C33" s="113" t="inlineStr">
        <is>
          <t>The attachment usefully narrows claims, but advisory/single-process/non-production qualifications recur in several sections.</t>
        </is>
      </c>
      <c r="D33" s="114" t="inlineStr">
        <is>
          <t>Limitations are consolidated into a canonical claim-status table and deployment-boundary section while retaining the required disclosures.</t>
        </is>
      </c>
    </row>
    <row r="34" ht="21" customHeight="1" s="48">
      <c r="A34" s="111" t="inlineStr">
        <is>
          <t>A-030</t>
        </is>
      </c>
      <c r="B34" s="113" t="inlineStr">
        <is>
          <t>The acknowledgement of reviewer input should remain factual and proportionate.</t>
        </is>
      </c>
      <c r="C34" s="113" t="inlineStr">
        <is>
          <t>The earlier email comments prompted material technical clarifications, but an acknowledgement should not imply co-authorship, endorsement or independent validation.</t>
        </is>
      </c>
      <c r="D34" s="114" t="inlineStr">
        <is>
          <t>Acknowledgement remains short, factual, and proportionate; final publication approval by the named reviewer remains optional editorial confirmation.</t>
        </is>
      </c>
    </row>
    <row r="35" ht="21" customHeight="1" s="48">
      <c r="A35" s="111" t="inlineStr">
        <is>
          <t>A-031</t>
        </is>
      </c>
      <c r="B35" s="113" t="inlineStr">
        <is>
          <t>The gate can report the wrong maximum falsification severity in its diagnostic reason.</t>
        </is>
      </c>
      <c r="C35" s="113" t="inlineStr">
        <is>
          <t>ActuationGate composes the reason with max(f.severity.value for f in findings). The values are strings, so alphabetical order applies: HIGH plus MEDIUM can be summarized as max severity medium, even though the decision logic uses a numeric policy mapping.</t>
        </is>
      </c>
      <c r="D35" s="114" t="inlineStr">
        <is>
          <t>Mixed-severity diagnostics use numeric severity ranks and report the policy maximum; cross-surface recommendation tests pass.</t>
        </is>
      </c>
    </row>
  </sheetData>
  <mergeCells count="2">
    <mergeCell ref="A1:C1"/>
    <mergeCell ref="A2:C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 customWidth="1" style="47" min="1" max="1"/>
    <col width="34" customWidth="1" style="47" min="2" max="2"/>
    <col width="61" customWidth="1" style="47" min="3" max="3"/>
    <col width="24" customWidth="1" style="47" min="4" max="4"/>
    <col width="22" customWidth="1" style="47" min="5" max="5"/>
    <col width="72" customWidth="1" style="47" min="6" max="6"/>
  </cols>
  <sheetData>
    <row r="1" ht="30" customHeight="1" s="48">
      <c r="A1" s="49" t="inlineStr">
        <is>
          <t>Release Readiness Checklist</t>
        </is>
      </c>
    </row>
    <row r="2" ht="21.75" customHeight="1" s="48">
      <c r="A2" s="50" t="inlineStr">
        <is>
          <t>A release gate is complete only when its acceptance evidence is attached to the same immutable source snapshot.</t>
        </is>
      </c>
    </row>
    <row r="3"/>
    <row r="4" ht="30" customHeight="1" s="48">
      <c r="A4" s="79" t="inlineStr">
        <is>
          <t>ID</t>
        </is>
      </c>
      <c r="B4" s="80" t="inlineStr">
        <is>
          <t>Release gate</t>
        </is>
      </c>
      <c r="C4" s="80" t="inlineStr">
        <is>
          <t>Acceptance evidence</t>
        </is>
      </c>
      <c r="D4" s="80" t="inlineStr">
        <is>
          <t>Suggested owner</t>
        </is>
      </c>
      <c r="E4" s="80" t="inlineStr">
        <is>
          <t>Status</t>
        </is>
      </c>
      <c r="F4" s="81" t="inlineStr">
        <is>
          <t>Notes / current evidence</t>
        </is>
      </c>
    </row>
    <row r="5" ht="15" customHeight="1" s="48">
      <c r="A5" s="111" t="inlineStr">
        <is>
          <t>R-01</t>
        </is>
      </c>
      <c r="B5" s="113" t="inlineStr">
        <is>
          <t>Exact source identity</t>
        </is>
      </c>
      <c r="C5" s="113" t="inlineStr">
        <is>
          <t>Full Git SHA, clean status, dependency lock hash, config digest and source archive are recorded.</t>
        </is>
      </c>
      <c r="D5" s="113" t="inlineStr">
        <is>
          <t>Release maintainer</t>
        </is>
      </c>
      <c r="E5" s="112" t="inlineStr">
        <is>
          <t>Addressed - verify</t>
        </is>
      </c>
      <c r="F5" s="114" t="inlineStr">
        <is>
          <t>Manifest records the v1.4.0-rc19 commit/tag, lock/config/source hashes, tools, status, and artifact hashes; shared local unrelated changes remain outside the candidate.</t>
        </is>
      </c>
    </row>
    <row r="6" ht="21" customHeight="1" s="48">
      <c r="A6" s="111" t="inlineStr">
        <is>
          <t>R-02</t>
        </is>
      </c>
      <c r="B6" s="113" t="inlineStr">
        <is>
          <t>Reproducible PDF</t>
        </is>
      </c>
      <c r="C6" s="113" t="inlineStr">
        <is>
          <t>A clean clone regenerates the release PDF byte-for-byte or under a documented deterministic-artifact policy.</t>
        </is>
      </c>
      <c r="D6" s="113" t="inlineStr">
        <is>
          <t>Manuscript/release</t>
        </is>
      </c>
      <c r="E6" s="112" t="inlineStr">
        <is>
          <t>Addressed - verify</t>
        </is>
      </c>
      <c r="F6" s="114" t="inlineStr">
        <is>
          <t>Manifest records tagged v1.4.0-rc19 (full revision recorded in the tagged manifest), lock/config/source hashes, tools, clean-clone status, and artifact hashes; shared local unrelated changes remain outside the candidate.</t>
        </is>
      </c>
    </row>
    <row r="7" ht="21" customHeight="1" s="48">
      <c r="A7" s="111" t="inlineStr">
        <is>
          <t>R-03</t>
        </is>
      </c>
      <c r="B7" s="113" t="inlineStr">
        <is>
          <t>Source-result synchronization</t>
        </is>
      </c>
      <c r="C7" s="113" t="inlineStr">
        <is>
          <t>The manuscript, source, tests, generated variables and rendered artifacts all come from the same tagged revision.</t>
        </is>
      </c>
      <c r="D7" s="113" t="inlineStr">
        <is>
          <t>Release maintainer</t>
        </is>
      </c>
      <c r="E7" s="112" t="inlineStr">
        <is>
          <t>Addressed - verify</t>
        </is>
      </c>
      <c r="F7" s="114" t="inlineStr">
        <is>
          <t>Canonical PDF SHA-256 3e15c79ee15f174bac784a05fa1ebceaed25a8741305f974d51bb3960744503d; clean clone at tagged v1.4.0-rc19 regenerated the exact PDF, HTML, coverage, JUnit, status, and figure hashes with SOURCE_DATE_EPOCH pinning.</t>
        </is>
      </c>
    </row>
    <row r="8" ht="21" customHeight="1" s="48">
      <c r="A8" s="111" t="inlineStr">
        <is>
          <t>R-04</t>
        </is>
      </c>
      <c r="B8" s="113" t="inlineStr">
        <is>
          <t>Central locality contract</t>
        </is>
      </c>
      <c r="C8" s="113" t="inlineStr">
        <is>
          <t>Production classes prove 0.875/EXECUTE to 0.725/HOLD at the same target after TEST FAILURE pressure 3.0.</t>
        </is>
      </c>
      <c r="D8" s="113" t="inlineStr">
        <is>
          <t>Colony Kernel</t>
        </is>
      </c>
      <c r="E8" s="112" t="inlineStr">
        <is>
          <t>Addressed - verify</t>
        </is>
      </c>
      <c r="F8" s="114" t="inlineStr">
        <is>
          <t>Candidate source, variables, coverage, JUnit, HTML, PDF, figures, and evidence package were regenerated and verified from tagged v1.4.0-rc19; final external publication remains.</t>
        </is>
      </c>
    </row>
    <row r="9" ht="15" customHeight="1" s="48">
      <c r="A9" s="111" t="inlineStr">
        <is>
          <t>R-05</t>
        </is>
      </c>
      <c r="B9" s="113" t="inlineStr">
        <is>
          <t>Unrelated-target control</t>
        </is>
      </c>
      <c r="C9" s="113" t="inlineStr">
        <is>
          <t>The same test proves an unrelated target remains at 0.875/EXECUTE.</t>
        </is>
      </c>
      <c r="D9" s="113" t="inlineStr">
        <is>
          <t>Colony Kernel</t>
        </is>
      </c>
      <c r="E9" s="112" t="inlineStr">
        <is>
          <t>Addressed - verify</t>
        </is>
      </c>
      <c r="F9" s="114" t="inlineStr">
        <is>
          <t>Unrelated-target control remains 0.875 EXECUTE.</t>
        </is>
      </c>
    </row>
    <row r="10" ht="15" customHeight="1" s="48">
      <c r="A10" s="111" t="inlineStr">
        <is>
          <t>R-06</t>
        </is>
      </c>
      <c r="B10" s="113" t="inlineStr">
        <is>
          <t>Decay restoration</t>
        </is>
      </c>
      <c r="C10" s="113" t="inlineStr">
        <is>
          <t>After the specified decay interval, the affected target returns to the clear score and decision.</t>
        </is>
      </c>
      <c r="D10" s="113" t="inlineStr">
        <is>
          <t>Colony Kernel</t>
        </is>
      </c>
      <c r="E10" s="112" t="inlineStr">
        <is>
          <t>Addressed - verify</t>
        </is>
      </c>
      <c r="F10" s="114" t="inlineStr">
        <is>
          <t>Twenty passive ticks restore the affected target to 0.875 EXECUTE.</t>
        </is>
      </c>
    </row>
    <row r="11" ht="21" customHeight="1" s="48">
      <c r="A11" s="111" t="inlineStr">
        <is>
          <t>R-07</t>
        </is>
      </c>
      <c r="B11" s="113" t="inlineStr">
        <is>
          <t>Consequence memory wiring</t>
        </is>
      </c>
      <c r="C11" s="113" t="inlineStr">
        <is>
          <t>ColonyKernel passes the shared ConsequenceMemory instance to ActuationGate and a causal test verifies the penalty.</t>
        </is>
      </c>
      <c r="D11" s="113" t="inlineStr">
        <is>
          <t>Colony Kernel</t>
        </is>
      </c>
      <c r="E11" s="112" t="inlineStr">
        <is>
          <t>Addressed - verify</t>
        </is>
      </c>
      <c r="F11" s="114" t="inlineStr">
        <is>
          <t>ColonyKernel shares ConsequenceMemory with ActuationGate and the causal contract passes.</t>
        </is>
      </c>
    </row>
    <row r="12" ht="15" customHeight="1" s="48">
      <c r="A12" s="111" t="inlineStr">
        <is>
          <t>R-08</t>
        </is>
      </c>
      <c r="B12" s="113" t="inlineStr">
        <is>
          <t>Budget interface contract</t>
        </is>
      </c>
      <c r="C12" s="113" t="inlineStr">
        <is>
          <t>Standalone and integrated gates reject/hold real-ledger overbudget proposals exactly as documented.</t>
        </is>
      </c>
      <c r="D12" s="113" t="inlineStr">
        <is>
          <t>Ledger/gate</t>
        </is>
      </c>
      <c r="E12" s="112" t="inlineStr">
        <is>
          <t>Addressed - verify</t>
        </is>
      </c>
      <c r="F12" s="114" t="inlineStr">
        <is>
          <t>All seven ResourceCost dimensions and standalone/integrated routing are tested with real ledgers.</t>
        </is>
      </c>
    </row>
    <row r="13" ht="21" customHeight="1" s="48">
      <c r="A13" s="111" t="inlineStr">
        <is>
          <t>R-09</t>
        </is>
      </c>
      <c r="B13" s="113" t="inlineStr">
        <is>
          <t>Falsification field mapping</t>
        </is>
      </c>
      <c r="C13" s="113" t="inlineStr">
        <is>
          <t>All fields required by every check survive ActionProposal-to-plan adaptation; mutation-sensitive tests cover the mapping.</t>
        </is>
      </c>
      <c r="D13" s="113" t="inlineStr">
        <is>
          <t>Falsification</t>
        </is>
      </c>
      <c r="E13" s="112" t="inlineStr">
        <is>
          <t>Addressed - verify</t>
        </is>
      </c>
      <c r="F13" s="114" t="inlineStr">
        <is>
          <t>Typed ActionProposal conversion covers every falsification plan field and tests exercise the mapping.</t>
        </is>
      </c>
    </row>
    <row r="14" ht="15" customHeight="1" s="48">
      <c r="A14" s="111" t="inlineStr">
        <is>
          <t>R-10</t>
        </is>
      </c>
      <c r="B14" s="113" t="inlineStr">
        <is>
          <t>Refusal semantics</t>
        </is>
      </c>
      <c r="C14" s="113" t="inlineStr">
        <is>
          <t>A policy refusal is not stored as an executed FAILURE and cannot create a self-confirming failure loop.</t>
        </is>
      </c>
      <c r="D14" s="113" t="inlineStr">
        <is>
          <t>Kernel/signal model</t>
        </is>
      </c>
      <c r="E14" s="112" t="inlineStr">
        <is>
          <t>Addressed - verify</t>
        </is>
      </c>
      <c r="F14" s="114" t="inlineStr">
        <is>
          <t>Policy rejection/prospective RISK do not create observed FAILURE; caller-reported failure remains distinct.</t>
        </is>
      </c>
    </row>
    <row r="15" ht="21" customHeight="1" s="48">
      <c r="A15" s="111" t="inlineStr">
        <is>
          <t>R-11</t>
        </is>
      </c>
      <c r="B15" s="113" t="inlineStr">
        <is>
          <t>Outcome linkage (claim-dependent)</t>
        </is>
      </c>
      <c r="C15" s="113" t="inlineStr">
        <is>
          <t>If attestation/enforcement is claimed, an outcome consumes or references a prior EXECUTE authorization. Otherwise every surface preserves the caller-reported/unattested evidence grade.</t>
        </is>
      </c>
      <c r="D15" s="113" t="inlineStr">
        <is>
          <t>API/security</t>
        </is>
      </c>
      <c r="E15" s="112" t="inlineStr">
        <is>
          <t>Addressed - verify</t>
        </is>
      </c>
      <c r="F15" s="114" t="inlineStr">
        <is>
          <t>Strict accepted outcomes require consumed signed authorization plus executor receipt; advisory records retain caller_reported_unattested grade.</t>
        </is>
      </c>
    </row>
    <row r="16" ht="21" customHeight="1" s="48">
      <c r="A16" s="111" t="inlineStr">
        <is>
          <t>R-12</t>
        </is>
      </c>
      <c r="B16" s="113" t="inlineStr">
        <is>
          <t>Metric categories</t>
        </is>
      </c>
      <c r="C16" s="113" t="inlineStr">
        <is>
          <t>Archived results separately report collected, passed, skipped, failed and errored tests plus exact coverage numerators/denominators.</t>
        </is>
      </c>
      <c r="D16" s="113" t="inlineStr">
        <is>
          <t>Test/release</t>
        </is>
      </c>
      <c r="E16" s="112" t="inlineStr">
        <is>
          <t>Addressed - verify</t>
        </is>
      </c>
      <c r="F16" s="114" t="inlineStr">
        <is>
          <t>Machine status reports 840 JUnit-collected / 840 passed / 0 skipped / 0 failed / 0 errors (841 pytest items collected; 1 deselected); coverage reports exact numerators/denominators.</t>
        </is>
      </c>
    </row>
    <row r="17" ht="21" customHeight="1" s="48">
      <c r="A17" s="111" t="inlineStr">
        <is>
          <t>R-13</t>
        </is>
      </c>
      <c r="B17" s="113" t="inlineStr">
        <is>
          <t>Fail-closed publication mode</t>
        </is>
      </c>
      <c r="C17" s="113" t="inlineStr">
        <is>
          <t>Stale artifacts, test skips/failures, static-check errors and missing evidence produce a nonzero release failure.</t>
        </is>
      </c>
      <c r="D17" s="113" t="inlineStr">
        <is>
          <t>Build/release</t>
        </is>
      </c>
      <c r="E17" s="112" t="inlineStr">
        <is>
          <t>Addressed - verify</t>
        </is>
      </c>
      <c r="F17" s="114" t="inlineStr">
        <is>
          <t>Machine status reports 840 JUnit-collected / 840 passed / 0 skipped / 0 failed / 0 errors; pytest collected 841 items and deselected 1; coverage reports exact numerators/denominators.</t>
        </is>
      </c>
    </row>
    <row r="18" ht="21" customHeight="1" s="48">
      <c r="A18" s="111" t="inlineStr">
        <is>
          <t>R-14</t>
        </is>
      </c>
      <c r="B18" s="113" t="inlineStr">
        <is>
          <t>Scope consistency</t>
        </is>
      </c>
      <c r="C18" s="113" t="inlineStr">
        <is>
          <t>Paper, README, SPEC and API documentation use the same advisory, process-local, caller-reported prototype boundary.</t>
        </is>
      </c>
      <c r="D18" s="113" t="inlineStr">
        <is>
          <t>Daniel + docs</t>
        </is>
      </c>
      <c r="E18" s="112" t="inlineStr">
        <is>
          <t>Addressed - verify</t>
        </is>
      </c>
      <c r="F18" s="114" t="inlineStr">
        <is>
          <t>All public surfaces distinguish advisory compatibility from strict declared-scope enforcement and evidence grades.</t>
        </is>
      </c>
    </row>
    <row r="19" ht="15" customHeight="1" s="48">
      <c r="A19" s="111" t="inlineStr">
        <is>
          <t>R-15</t>
        </is>
      </c>
      <c r="B19" s="113" t="inlineStr">
        <is>
          <t>Independent clean-checkout replay</t>
        </is>
      </c>
      <c r="C19" s="113" t="inlineStr">
        <is>
          <t>A reviewer follows the published commands without local context and reproduces all headline outputs.</t>
        </is>
      </c>
      <c r="D19" s="113" t="inlineStr">
        <is>
          <t>Independent reviewer</t>
        </is>
      </c>
      <c r="E19" s="112" t="inlineStr">
        <is>
          <t>Addressed - verify</t>
        </is>
      </c>
      <c r="F19" s="114" t="inlineStr">
        <is>
          <t>Clean-clone replay at tagged v1.4.0-rc19 passed with exact PDF/HTML/evidence/figure hashes; independent reviewer confirmation and external publication remain.</t>
        </is>
      </c>
    </row>
    <row r="20" ht="21" customHeight="1" s="48">
      <c r="A20" s="111" t="inlineStr">
        <is>
          <t>R-16</t>
        </is>
      </c>
      <c r="B20" s="113" t="inlineStr">
        <is>
          <t>Falsification policy consistency</t>
        </is>
      </c>
      <c r="C20" s="113" t="inlineStr">
        <is>
          <t>Worker verdict, gate override and MCP recommendation follow one truth table; LOW findings cannot dilute a HIGH/CRITICAL outcome.</t>
        </is>
      </c>
      <c r="D20" s="113" t="inlineStr">
        <is>
          <t>Falsification/API</t>
        </is>
      </c>
      <c r="E20" s="112" t="inlineStr">
        <is>
          <t>Addressed - verify</t>
        </is>
      </c>
      <c r="F20" s="114" t="inlineStr">
        <is>
          <t>Clean-clone replay at tagged v1.4.0-rc19 passed with exact PDF/HTML/coverage/JUnit/status/figure hashes; independent reviewer confirmation and external publication remain.</t>
        </is>
      </c>
    </row>
    <row r="21" ht="21" customHeight="1" s="48">
      <c r="A21" s="111" t="inlineStr">
        <is>
          <t>R-17</t>
        </is>
      </c>
      <c r="B21" s="113" t="inlineStr">
        <is>
          <t>Trust backend semantics</t>
        </is>
      </c>
      <c r="C21" s="113" t="inlineStr">
        <is>
          <t>SQLite and pure-list trust starts/deltas are unified, or each public constructor has explicit, tested documentation and generated examples.</t>
        </is>
      </c>
      <c r="D21" s="113" t="inlineStr">
        <is>
          <t>Trust/memory</t>
        </is>
      </c>
      <c r="E21" s="112" t="inlineStr">
        <is>
          <t>Addressed - verify</t>
        </is>
      </c>
      <c r="F21" s="114" t="inlineStr">
        <is>
          <t>SQLite and pure-list trust behavior agree at 0.10 and use the same delta policy.</t>
        </is>
      </c>
    </row>
    <row r="22" ht="15" customHeight="1" s="48">
      <c r="A22" s="111" t="inlineStr">
        <is>
          <t>R-18</t>
        </is>
      </c>
      <c r="B22" s="113" t="inlineStr">
        <is>
          <t>Diagnostic severity ordering</t>
        </is>
      </c>
      <c r="C22" s="113" t="inlineStr">
        <is>
          <t>Mixed-severity findings report the policy maximum in reasons, logs and API output.</t>
        </is>
      </c>
      <c r="D22" s="113" t="inlineStr">
        <is>
          <t>Gate/falsification</t>
        </is>
      </c>
      <c r="E22" s="112" t="inlineStr">
        <is>
          <t>Addressed - verify</t>
        </is>
      </c>
      <c r="F22" s="114" t="inlineStr">
        <is>
          <t>Mixed-severity diagnostics report numeric policy maximum.</t>
        </is>
      </c>
    </row>
    <row r="23" ht="21.75" customHeight="1" s="48">
      <c r="A23" s="111" t="inlineStr">
        <is>
          <t>R-19</t>
        </is>
      </c>
      <c r="B23" s="113" t="inlineStr">
        <is>
          <t>Strict authorization lifecycle</t>
        </is>
      </c>
      <c r="C23" s="113" t="inlineStr">
        <is>
          <t>Every declared action has one signed, scoped, expiring, single-use capability; every accepted outcome links to one consumed capability and receipt.</t>
        </is>
      </c>
      <c r="D23" s="113" t="inlineStr">
        <is>
          <t>Colony Kernel/security</t>
        </is>
      </c>
      <c r="E23" s="112" t="inlineStr">
        <is>
          <t>Addressed - verify</t>
        </is>
      </c>
      <c r="F23" s="114" t="inlineStr">
        <is>
          <t>Signed strict lifecycle, expiry, tamper, cross-agent, scope, replay, receipt, quarantine, persistence, and concurrency contracts pass; clean-clone replay also passes.</t>
        </is>
      </c>
    </row>
    <row r="24" ht="21.75" customHeight="1" s="48">
      <c r="A24" s="111" t="inlineStr">
        <is>
          <t>R-20</t>
        </is>
      </c>
      <c r="B24" s="113" t="inlineStr">
        <is>
          <t>Pinned external evaluation</t>
        </is>
      </c>
      <c r="C24" s="113" t="inlineStr">
        <is>
          <t>Controlled and SWE-bench Lite manifests, provider/model pins, raw results, receipts, and reports are attached to the immutable release.</t>
        </is>
      </c>
      <c r="D24" s="113" t="inlineStr">
        <is>
          <t>Evaluation/release</t>
        </is>
      </c>
      <c r="E24" s="112" t="inlineStr">
        <is>
          <t>Open</t>
        </is>
      </c>
      <c r="F24" s="114" t="inlineStr">
        <is>
          <t>Signed strict lifecycle, expiry, tamper, cross-agent, scope, replay, receipt, quarantine, persistence, and concurrency contracts pass; clean-clone replay at v1.4.0-rc19 also passes.</t>
        </is>
      </c>
    </row>
  </sheetData>
  <mergeCells count="2">
    <mergeCell ref="A2:F2"/>
    <mergeCell ref="A1:F1"/>
  </mergeCells>
  <conditionalFormatting sqref="E5:E22">
    <cfRule type="containsText" rank="0" priority="2" equalAverage="0" operator="containsText" aboveAverage="0" dxfId="0" text="Blocked" percent="0" bottom="0">
      <formula>NOT(ISERROR(SEARCH("Blocked",E5)))</formula>
    </cfRule>
    <cfRule type="containsText" rank="0" priority="3" equalAverage="0" operator="containsText" aboveAverage="0" dxfId="5" text="In progress" percent="0" bottom="0">
      <formula>NOT(ISERROR(SEARCH("In progress",E5)))</formula>
    </cfRule>
    <cfRule type="containsText" rank="0" priority="4" equalAverage="0" operator="containsText" aboveAverage="0" dxfId="6" text="Complete" percent="0" bottom="0">
      <formula>NOT(ISERROR(SEARCH("Complete",E5)))</formula>
    </cfRule>
  </conditionalFormatting>
  <dataValidations count="1">
    <dataValidation sqref="E5:E22" showDropDown="0" showInputMessage="0" showErrorMessage="0" allowBlank="0" type="list" errorStyle="stop" operator="between">
      <formula1>"Not started,In progress,Ready for verification,Complete,Blocked"</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47" min="1" max="1"/>
    <col width="92" customWidth="1" style="47" min="2" max="2"/>
    <col width="4" customWidth="1" style="47" min="3" max="4"/>
  </cols>
  <sheetData>
    <row r="1" ht="19.5" customHeight="1" s="48">
      <c r="A1" s="115" t="inlineStr">
        <is>
          <t>Current Revision Follow-up Evidence</t>
        </is>
      </c>
    </row>
    <row r="2"/>
    <row r="3" ht="15" customHeight="1" s="48">
      <c r="A3" s="116" t="inlineStr">
        <is>
          <t>Historical audit anchor</t>
        </is>
      </c>
      <c r="B3" s="117" t="inlineStr">
        <is>
          <t>e85aee6758726ca1fbba202d0ef1a09d524029e3</t>
        </is>
      </c>
    </row>
    <row r="4" ht="15" customHeight="1" s="48">
      <c r="A4" s="116" t="inlineStr">
        <is>
          <t>Current evaluated revision</t>
        </is>
      </c>
      <c r="B4" s="117" t="inlineStr">
        <is>
          <t>Full candidate revision recorded in output/release_manifest.json for the tagged clean clone.</t>
        </is>
      </c>
    </row>
    <row r="5" ht="15" customHeight="1" s="48">
      <c r="A5" s="116" t="inlineStr">
        <is>
          <t>Release tag</t>
        </is>
      </c>
      <c r="B5" s="117" t="inlineStr">
        <is>
          <t>v1.4.0-rc19 tagged; clean-clone replay verified; v1.4.0 held pending provider benchmark</t>
        </is>
      </c>
    </row>
    <row r="6" ht="15" customHeight="1" s="48">
      <c r="A6" s="116" t="inlineStr">
        <is>
          <t>Publication manifest</t>
        </is>
      </c>
      <c r="B6" s="117" t="inlineStr">
        <is>
          <t>publication_ready=false because provider benchmark/results are missing; clean-clone required test/artifact gates are fresh; shared local unrelated changes remain outside the candidate</t>
        </is>
      </c>
    </row>
    <row r="7" ht="15" customHeight="1" s="48">
      <c r="A7" s="116" t="inlineStr">
        <is>
          <t>Required tests</t>
        </is>
      </c>
      <c r="B7" s="117" t="inlineStr">
        <is>
          <t>840 JUnit-collected / 840 passed / 0 skipped / 0 failed / 0 errors (841 pytest items collected; 1 deselected)</t>
        </is>
      </c>
    </row>
    <row r="8" ht="15" customHeight="1" s="48">
      <c r="A8" s="116" t="inlineStr">
        <is>
          <t>Coverage</t>
        </is>
      </c>
      <c r="B8" s="117" t="inlineStr">
        <is>
          <t>74.37185929648241% (592/796) branch; 82.59604190919674% (2,246/2,640) line; floor 60.0%</t>
        </is>
      </c>
    </row>
    <row r="9" ht="15" customHeight="1" s="48">
      <c r="A9" s="116" t="inlineStr">
        <is>
          <t>Locality</t>
        </is>
      </c>
      <c r="B9" s="117" t="inlineStr">
        <is>
          <t>0.875 EXECUTE -&gt; 0.725 HOLD after same-target TEST FAILURE pressure 3.0; unrelated/recovery 0.875</t>
        </is>
      </c>
    </row>
    <row r="10" ht="15" customHeight="1" s="48">
      <c r="A10" s="116" t="inlineStr">
        <is>
          <t>Evidence grade</t>
        </is>
      </c>
      <c r="B10" s="117" t="inlineStr">
        <is>
          <t>caller_reported_unattested, attested_execution, policy_rejection, and prospective-RISK are distinct; no ground-truth claim</t>
        </is>
      </c>
    </row>
    <row r="11" ht="15" customHeight="1" s="48">
      <c r="A11" s="116" t="inlineStr">
        <is>
          <t>Canonical PDF SHA-256</t>
        </is>
      </c>
      <c r="B11" s="117" t="inlineStr">
        <is>
          <t>3e15c79ee15f174bac784a05fa1ebceaed25a8741305f974d51bb3960744503d</t>
        </is>
      </c>
    </row>
    <row r="12" ht="15" customHeight="1" s="48">
      <c r="A12" s="116" t="inlineStr">
        <is>
          <t>Manifest SHA-256</t>
        </is>
      </c>
      <c r="B12" s="117" t="inlineStr">
        <is>
          <t>Recorded by output/release_manifest.json in the tagged clean clone; the sidecar is the manifest hash source of truth.</t>
        </is>
      </c>
    </row>
    <row r="13"/>
    <row r="14">
      <c r="A14" s="47" t="inlineStr">
        <is>
          <t>output/paper.pdf</t>
        </is>
      </c>
      <c r="B14" s="47" t="inlineStr">
        <is>
          <t>3e15c79ee15f174bac784a05fa1ebceaed25a8741305f974d51bb3960744503d</t>
        </is>
      </c>
    </row>
    <row r="15" ht="15" customHeight="1" s="48">
      <c r="A15" s="118" t="inlineStr">
        <is>
          <t>output/paper.html</t>
        </is>
      </c>
      <c r="B15" s="118" t="inlineStr">
        <is>
          <t>7f42c41a1f42127cf9b06ebc5a53384ecaa5a57fd51a7e2feb84cc0b29999355</t>
        </is>
      </c>
      <c r="C15" s="118" t="n"/>
      <c r="D15" s="118" t="n"/>
    </row>
    <row r="16" ht="15" customHeight="1" s="48">
      <c r="A16" s="47" t="inlineStr">
        <is>
          <t>output/data/manuscript_variables.json</t>
        </is>
      </c>
      <c r="B16" s="119" t="inlineStr">
        <is>
          <t>49ba171b55cd8946d1024dbcbbca12fbe1986e90d3ed152d695c1501f1b44e85</t>
        </is>
      </c>
    </row>
    <row r="17" ht="15" customHeight="1" s="48">
      <c r="A17" s="47" t="inlineStr">
        <is>
          <t>output/data/colony_kernel_coverage.json</t>
        </is>
      </c>
      <c r="B17" s="119" t="inlineStr">
        <is>
          <t>e7134083deb0d91cb91bfed463ae7809d3d461d22a067c85ac84fe740d004e57</t>
        </is>
      </c>
    </row>
    <row r="18" ht="15" customHeight="1" s="48">
      <c r="A18" s="47" t="inlineStr">
        <is>
          <t>output/data/colony_kernel_test_report.xml</t>
        </is>
      </c>
      <c r="B18" s="119" t="inlineStr">
        <is>
          <t>cbcfc215fee2cf2200ee0c1ae18e2adf5a2ec9d58c360ef8e691b0b5be963e5eb</t>
        </is>
      </c>
    </row>
    <row r="19" ht="15" customHeight="1" s="48">
      <c r="A19" s="47" t="inlineStr">
        <is>
          <t>output/data/colony_kernel_test_status.json</t>
        </is>
      </c>
      <c r="B19" s="119" t="inlineStr">
        <is>
          <t>fc2f174b03c69d8d3bf038e6e49c11b1c86d39aa74920aa7c226211e6e4a1ecf</t>
        </is>
      </c>
    </row>
    <row r="20" ht="15" customHeight="1" s="48">
      <c r="A20" s="47" t="inlineStr">
        <is>
          <t>output/data/colony_kernel_test_report.xml</t>
        </is>
      </c>
      <c r="B20" s="119" t="inlineStr">
        <is>
          <t>Pending final sidecar regeneration after the immutable candidate tag; clean-clone manifest is the release source of truth.</t>
        </is>
      </c>
    </row>
    <row r="21" ht="15" customHeight="1" s="48">
      <c r="A21" s="47" t="inlineStr">
        <is>
          <t>output/data/colony_kernel_test_status.json</t>
        </is>
      </c>
      <c r="B21" s="119" t="inlineStr">
        <is>
          <t>fc2f174b03c69d8d3bf038e6e49c11b1c86d39aa74920aa7c226211e6e4a1ecf</t>
        </is>
      </c>
    </row>
    <row r="22" ht="15" customHeight="1" s="48">
      <c r="A22" s="47" t="inlineStr">
        <is>
          <t>output/release_manifest.json</t>
        </is>
      </c>
      <c r="B22" s="119" t="inlineStr">
        <is>
          <t>Pending final manifest regeneration after immutable release-candidate tag</t>
        </is>
      </c>
    </row>
    <row r="23" ht="15" customHeight="1" s="48">
      <c r="A23" s="47" t="inlineStr">
        <is>
          <t>Enforcement profile</t>
        </is>
      </c>
      <c r="B23" s="119" t="inlineStr">
        <is>
          <t>Strict declared-scope Ed25519 capabilities and receipts implemented; advisory compatibility retained</t>
        </is>
      </c>
    </row>
    <row r="24" ht="23.25" customHeight="1" s="48">
      <c r="A24" s="47" t="inlineStr">
        <is>
          <t>SWE-bench Lite pin</t>
        </is>
      </c>
      <c r="B24" s="119" t="inlineStr">
        <is>
          <t>princeton-nlp/SWE-bench_Lite @ 6ec7bb89b9342f664a54a6e0a6ea6501d3437cc2; 30 IDs; 20 development / 10 held-out</t>
        </is>
      </c>
    </row>
    <row r="25" ht="15" customHeight="1" s="48">
      <c r="A25" s="47" t="inlineStr">
        <is>
          <t>Benchmark status</t>
        </is>
      </c>
      <c r="B25" s="119" t="inlineStr">
        <is>
          <t>Provider-backed run pending; fixture adapter is test-only and cannot produce release evidence</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2026-07-14T02:54:36Z</dcterms:created>
  <dcterms:modified xmlns:dcterms="http://purl.org/dc/terms/" xmlns:xsi="http://www.w3.org/2001/XMLSchema-instance" xsi:type="dcterms:W3CDTF">2026-07-14T21:53:58Z</dcterms:modified>
  <cp:revision>0</cp:revision>
</cp:coreProperties>
</file>